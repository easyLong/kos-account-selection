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工作文件\0 项目需求文件\1-专项-KOS项目\"/>
    </mc:Choice>
  </mc:AlternateContent>
  <xr:revisionPtr revIDLastSave="0" documentId="13_ncr:1_{9A79F578-5456-4C07-94A8-FCE0BB75F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导出说明" sheetId="1" r:id="rId1"/>
    <sheet name="报名总览" sheetId="2" r:id="rId2"/>
    <sheet name="测评与作品明细" sheetId="3" r:id="rId3"/>
    <sheet name="题库与评分规则" sheetId="5" r:id="rId4"/>
  </sheets>
  <definedNames>
    <definedName name="_xlnm._FilterDatabase" localSheetId="1" hidden="1">报名总览!$A$3:$O$56</definedName>
    <definedName name="_xlnm._FilterDatabase" localSheetId="2" hidden="1">测评与作品明细!$A$3:$Y$56</definedName>
  </definedNames>
  <calcPr calcId="191029"/>
</workbook>
</file>

<file path=xl/calcChain.xml><?xml version="1.0" encoding="utf-8"?>
<calcChain xmlns="http://schemas.openxmlformats.org/spreadsheetml/2006/main">
  <c r="Q56" i="3" l="1"/>
  <c r="P56" i="3"/>
  <c r="K56" i="3"/>
  <c r="R56" i="3" s="1"/>
  <c r="A56" i="3"/>
  <c r="Q55" i="3"/>
  <c r="P55" i="3"/>
  <c r="K55" i="3"/>
  <c r="R55" i="3" s="1"/>
  <c r="A55" i="3"/>
  <c r="Q54" i="3"/>
  <c r="P54" i="3"/>
  <c r="K54" i="3"/>
  <c r="R54" i="3" s="1"/>
  <c r="A54" i="3"/>
  <c r="R53" i="3"/>
  <c r="Q53" i="3"/>
  <c r="P53" i="3"/>
  <c r="K53" i="3"/>
  <c r="A53" i="3"/>
  <c r="R52" i="3"/>
  <c r="Q52" i="3"/>
  <c r="P52" i="3"/>
  <c r="K52" i="3"/>
  <c r="A52" i="3"/>
  <c r="Q51" i="3"/>
  <c r="P51" i="3"/>
  <c r="K51" i="3"/>
  <c r="R51" i="3" s="1"/>
  <c r="A51" i="3"/>
  <c r="Q50" i="3"/>
  <c r="P50" i="3"/>
  <c r="K50" i="3"/>
  <c r="R50" i="3" s="1"/>
  <c r="A50" i="3"/>
  <c r="Q49" i="3"/>
  <c r="P49" i="3"/>
  <c r="K49" i="3"/>
  <c r="R49" i="3" s="1"/>
  <c r="A49" i="3"/>
  <c r="Q48" i="3"/>
  <c r="P48" i="3"/>
  <c r="K48" i="3"/>
  <c r="R48" i="3" s="1"/>
  <c r="A48" i="3"/>
  <c r="R47" i="3"/>
  <c r="Q47" i="3"/>
  <c r="P47" i="3"/>
  <c r="K47" i="3"/>
  <c r="A47" i="3"/>
  <c r="R46" i="3"/>
  <c r="Q46" i="3"/>
  <c r="P46" i="3"/>
  <c r="K46" i="3"/>
  <c r="A46" i="3"/>
  <c r="Q45" i="3"/>
  <c r="P45" i="3"/>
  <c r="K45" i="3"/>
  <c r="R45" i="3" s="1"/>
  <c r="A45" i="3"/>
  <c r="R44" i="3"/>
  <c r="Q44" i="3"/>
  <c r="P44" i="3"/>
  <c r="K44" i="3"/>
  <c r="A44" i="3"/>
  <c r="R43" i="3"/>
  <c r="Q43" i="3"/>
  <c r="P43" i="3"/>
  <c r="K43" i="3"/>
  <c r="A43" i="3"/>
  <c r="R42" i="3"/>
  <c r="Q42" i="3"/>
  <c r="P42" i="3"/>
  <c r="K42" i="3"/>
  <c r="A42" i="3"/>
  <c r="R41" i="3"/>
  <c r="Q41" i="3"/>
  <c r="P41" i="3"/>
  <c r="K41" i="3"/>
  <c r="A41" i="3"/>
  <c r="R40" i="3"/>
  <c r="Q40" i="3"/>
  <c r="P40" i="3"/>
  <c r="K40" i="3"/>
  <c r="A40" i="3"/>
  <c r="Q39" i="3"/>
  <c r="P39" i="3"/>
  <c r="K39" i="3"/>
  <c r="R39" i="3" s="1"/>
  <c r="A39" i="3"/>
  <c r="Q38" i="3"/>
  <c r="P38" i="3"/>
  <c r="K38" i="3"/>
  <c r="R38" i="3" s="1"/>
  <c r="A38" i="3"/>
  <c r="R37" i="3"/>
  <c r="Q37" i="3"/>
  <c r="P37" i="3"/>
  <c r="K37" i="3"/>
  <c r="A37" i="3"/>
  <c r="R36" i="3"/>
  <c r="Q36" i="3"/>
  <c r="P36" i="3"/>
  <c r="K36" i="3"/>
  <c r="A36" i="3"/>
  <c r="Q35" i="3"/>
  <c r="P35" i="3"/>
  <c r="K35" i="3"/>
  <c r="R35" i="3" s="1"/>
  <c r="A35" i="3"/>
  <c r="Q34" i="3"/>
  <c r="P34" i="3"/>
  <c r="K34" i="3"/>
  <c r="R34" i="3" s="1"/>
  <c r="A34" i="3"/>
  <c r="Q33" i="3"/>
  <c r="P33" i="3"/>
  <c r="K33" i="3"/>
  <c r="R33" i="3" s="1"/>
  <c r="A33" i="3"/>
  <c r="Q32" i="3"/>
  <c r="P32" i="3"/>
  <c r="K32" i="3"/>
  <c r="R32" i="3" s="1"/>
  <c r="A32" i="3"/>
  <c r="R31" i="3"/>
  <c r="Q31" i="3"/>
  <c r="P31" i="3"/>
  <c r="K31" i="3"/>
  <c r="A31" i="3"/>
  <c r="R30" i="3"/>
  <c r="Q30" i="3"/>
  <c r="P30" i="3"/>
  <c r="K30" i="3"/>
  <c r="A30" i="3"/>
  <c r="Q29" i="3"/>
  <c r="P29" i="3"/>
  <c r="K29" i="3"/>
  <c r="R29" i="3" s="1"/>
  <c r="A29" i="3"/>
  <c r="R28" i="3"/>
  <c r="Q28" i="3"/>
  <c r="P28" i="3"/>
  <c r="K28" i="3"/>
  <c r="A28" i="3"/>
  <c r="R27" i="3"/>
  <c r="Q27" i="3"/>
  <c r="P27" i="3"/>
  <c r="K27" i="3"/>
  <c r="A27" i="3"/>
  <c r="R26" i="3"/>
  <c r="Q26" i="3"/>
  <c r="P26" i="3"/>
  <c r="K26" i="3"/>
  <c r="A26" i="3"/>
  <c r="R25" i="3"/>
  <c r="Q25" i="3"/>
  <c r="P25" i="3"/>
  <c r="K25" i="3"/>
  <c r="A25" i="3"/>
  <c r="R24" i="3"/>
  <c r="Q24" i="3"/>
  <c r="P24" i="3"/>
  <c r="K24" i="3"/>
  <c r="A24" i="3"/>
  <c r="Q23" i="3"/>
  <c r="P23" i="3"/>
  <c r="K23" i="3"/>
  <c r="R23" i="3" s="1"/>
  <c r="A23" i="3"/>
  <c r="Q22" i="3"/>
  <c r="P22" i="3"/>
  <c r="K22" i="3"/>
  <c r="R22" i="3" s="1"/>
  <c r="A22" i="3"/>
  <c r="R21" i="3"/>
  <c r="Q21" i="3"/>
  <c r="P21" i="3"/>
  <c r="K21" i="3"/>
  <c r="A21" i="3"/>
  <c r="R20" i="3"/>
  <c r="Q20" i="3"/>
  <c r="P20" i="3"/>
  <c r="K20" i="3"/>
  <c r="A20" i="3"/>
  <c r="Q19" i="3"/>
  <c r="P19" i="3"/>
  <c r="K19" i="3"/>
  <c r="R19" i="3" s="1"/>
  <c r="A19" i="3"/>
  <c r="Q18" i="3"/>
  <c r="P18" i="3"/>
  <c r="K18" i="3"/>
  <c r="R18" i="3" s="1"/>
  <c r="A18" i="3"/>
  <c r="Q17" i="3"/>
  <c r="P17" i="3"/>
  <c r="K17" i="3"/>
  <c r="R17" i="3" s="1"/>
  <c r="A17" i="3"/>
  <c r="Q16" i="3"/>
  <c r="P16" i="3"/>
  <c r="K16" i="3"/>
  <c r="R16" i="3" s="1"/>
  <c r="A16" i="3"/>
  <c r="R15" i="3"/>
  <c r="Q15" i="3"/>
  <c r="P15" i="3"/>
  <c r="K15" i="3"/>
  <c r="A15" i="3"/>
  <c r="R14" i="3"/>
  <c r="Q14" i="3"/>
  <c r="P14" i="3"/>
  <c r="K14" i="3"/>
  <c r="A14" i="3"/>
  <c r="Q13" i="3"/>
  <c r="P13" i="3"/>
  <c r="K13" i="3"/>
  <c r="R13" i="3" s="1"/>
  <c r="A13" i="3"/>
  <c r="R12" i="3"/>
  <c r="Q12" i="3"/>
  <c r="P12" i="3"/>
  <c r="K12" i="3"/>
  <c r="A12" i="3"/>
  <c r="R11" i="3"/>
  <c r="Q11" i="3"/>
  <c r="P11" i="3"/>
  <c r="K11" i="3"/>
  <c r="A11" i="3"/>
  <c r="R10" i="3"/>
  <c r="Q10" i="3"/>
  <c r="P10" i="3"/>
  <c r="K10" i="3"/>
  <c r="A10" i="3"/>
  <c r="R9" i="3"/>
  <c r="Q9" i="3"/>
  <c r="P9" i="3"/>
  <c r="K9" i="3"/>
  <c r="A9" i="3"/>
  <c r="R8" i="3"/>
  <c r="Q8" i="3"/>
  <c r="P8" i="3"/>
  <c r="K8" i="3"/>
  <c r="A8" i="3"/>
  <c r="Q7" i="3"/>
  <c r="P7" i="3"/>
  <c r="K7" i="3"/>
  <c r="R7" i="3" s="1"/>
  <c r="N7" i="2" s="1"/>
  <c r="A7" i="3"/>
  <c r="P6" i="3"/>
  <c r="K6" i="3"/>
  <c r="A6" i="3"/>
  <c r="Q5" i="3"/>
  <c r="R5" i="3" s="1"/>
  <c r="N5" i="2" s="1"/>
  <c r="P5" i="3"/>
  <c r="K5" i="3"/>
  <c r="A5" i="3"/>
  <c r="P4" i="3"/>
  <c r="K4" i="3"/>
  <c r="Q4" i="3" s="1"/>
  <c r="A4" i="3"/>
  <c r="N56" i="2"/>
  <c r="M56" i="2"/>
  <c r="A56" i="2"/>
  <c r="N55" i="2"/>
  <c r="M55" i="2"/>
  <c r="A55" i="2"/>
  <c r="N54" i="2"/>
  <c r="M54" i="2"/>
  <c r="A54" i="2"/>
  <c r="N53" i="2"/>
  <c r="M53" i="2"/>
  <c r="A53" i="2"/>
  <c r="N52" i="2"/>
  <c r="M52" i="2"/>
  <c r="A52" i="2"/>
  <c r="N51" i="2"/>
  <c r="M51" i="2"/>
  <c r="A51" i="2"/>
  <c r="N50" i="2"/>
  <c r="M50" i="2"/>
  <c r="A50" i="2"/>
  <c r="N49" i="2"/>
  <c r="M49" i="2"/>
  <c r="A49" i="2"/>
  <c r="N48" i="2"/>
  <c r="M48" i="2"/>
  <c r="A48" i="2"/>
  <c r="N47" i="2"/>
  <c r="M47" i="2"/>
  <c r="A47" i="2"/>
  <c r="N46" i="2"/>
  <c r="M46" i="2"/>
  <c r="A46" i="2"/>
  <c r="N45" i="2"/>
  <c r="M45" i="2"/>
  <c r="A45" i="2"/>
  <c r="N44" i="2"/>
  <c r="M44" i="2"/>
  <c r="A44" i="2"/>
  <c r="N43" i="2"/>
  <c r="M43" i="2"/>
  <c r="A43" i="2"/>
  <c r="N42" i="2"/>
  <c r="M42" i="2"/>
  <c r="A42" i="2"/>
  <c r="N41" i="2"/>
  <c r="M41" i="2"/>
  <c r="A41" i="2"/>
  <c r="N40" i="2"/>
  <c r="M40" i="2"/>
  <c r="A40" i="2"/>
  <c r="N39" i="2"/>
  <c r="M39" i="2"/>
  <c r="A39" i="2"/>
  <c r="N38" i="2"/>
  <c r="M38" i="2"/>
  <c r="A38" i="2"/>
  <c r="N37" i="2"/>
  <c r="M37" i="2"/>
  <c r="A37" i="2"/>
  <c r="N36" i="2"/>
  <c r="M36" i="2"/>
  <c r="A36" i="2"/>
  <c r="N35" i="2"/>
  <c r="M35" i="2"/>
  <c r="A35" i="2"/>
  <c r="N34" i="2"/>
  <c r="M34" i="2"/>
  <c r="A34" i="2"/>
  <c r="N33" i="2"/>
  <c r="M33" i="2"/>
  <c r="A33" i="2"/>
  <c r="N32" i="2"/>
  <c r="M32" i="2"/>
  <c r="A32" i="2"/>
  <c r="N31" i="2"/>
  <c r="M31" i="2"/>
  <c r="A31" i="2"/>
  <c r="N30" i="2"/>
  <c r="M30" i="2"/>
  <c r="A30" i="2"/>
  <c r="N29" i="2"/>
  <c r="M29" i="2"/>
  <c r="A29" i="2"/>
  <c r="N28" i="2"/>
  <c r="M28" i="2"/>
  <c r="A28" i="2"/>
  <c r="N27" i="2"/>
  <c r="M27" i="2"/>
  <c r="A27" i="2"/>
  <c r="N26" i="2"/>
  <c r="M26" i="2"/>
  <c r="A26" i="2"/>
  <c r="N25" i="2"/>
  <c r="M25" i="2"/>
  <c r="A25" i="2"/>
  <c r="N24" i="2"/>
  <c r="M24" i="2"/>
  <c r="A24" i="2"/>
  <c r="N23" i="2"/>
  <c r="M23" i="2"/>
  <c r="A23" i="2"/>
  <c r="N22" i="2"/>
  <c r="M22" i="2"/>
  <c r="A22" i="2"/>
  <c r="N21" i="2"/>
  <c r="M21" i="2"/>
  <c r="A21" i="2"/>
  <c r="N20" i="2"/>
  <c r="M20" i="2"/>
  <c r="A20" i="2"/>
  <c r="N19" i="2"/>
  <c r="M19" i="2"/>
  <c r="A19" i="2"/>
  <c r="N18" i="2"/>
  <c r="M18" i="2"/>
  <c r="A18" i="2"/>
  <c r="N17" i="2"/>
  <c r="M17" i="2"/>
  <c r="A17" i="2"/>
  <c r="N16" i="2"/>
  <c r="M16" i="2"/>
  <c r="A16" i="2"/>
  <c r="N15" i="2"/>
  <c r="M15" i="2"/>
  <c r="A15" i="2"/>
  <c r="N14" i="2"/>
  <c r="M14" i="2"/>
  <c r="A14" i="2"/>
  <c r="N13" i="2"/>
  <c r="M13" i="2"/>
  <c r="A13" i="2"/>
  <c r="N12" i="2"/>
  <c r="M12" i="2"/>
  <c r="A12" i="2"/>
  <c r="N11" i="2"/>
  <c r="M11" i="2"/>
  <c r="A11" i="2"/>
  <c r="N10" i="2"/>
  <c r="M10" i="2"/>
  <c r="A10" i="2"/>
  <c r="N9" i="2"/>
  <c r="M9" i="2"/>
  <c r="A9" i="2"/>
  <c r="N8" i="2"/>
  <c r="M8" i="2"/>
  <c r="A8" i="2"/>
  <c r="M7" i="2"/>
  <c r="A7" i="2"/>
  <c r="A6" i="2"/>
  <c r="A5" i="2"/>
  <c r="A4" i="2"/>
  <c r="M4" i="2" l="1"/>
  <c r="R4" i="3"/>
  <c r="N4" i="2" s="1"/>
  <c r="M5" i="2"/>
  <c r="Q6" i="3"/>
  <c r="M6" i="2" s="1"/>
  <c r="R6" i="3" l="1"/>
  <c r="N6" i="2" s="1"/>
</calcChain>
</file>

<file path=xl/sharedStrings.xml><?xml version="1.0" encoding="utf-8"?>
<sst xmlns="http://schemas.openxmlformats.org/spreadsheetml/2006/main" count="341" uniqueCount="253">
  <si>
    <t>【星火计划】财经类自媒体创作者选拔 · 每日报名与问卷评分导出模板</t>
  </si>
  <si>
    <t>每日 17:00 前导出前一天报名数据 · 报名信息 + 问卷打分 + 自动定级</t>
  </si>
  <si>
    <t>一、导出信息（每日填写）</t>
  </si>
  <si>
    <t>数据归属日期</t>
  </si>
  <si>
    <t>前一天 00:00:00 – 23:59:59 提交的报名（按提交时间筛选），如 10 月 27 日导出填写 2026-10-26</t>
  </si>
  <si>
    <t>导出截止时间</t>
  </si>
  <si>
    <t>每日 17:00 前完成</t>
  </si>
  <si>
    <t>文件命名</t>
  </si>
  <si>
    <t>星火计划_报名导出_YYYYMMDD.xlsx（日期取数据归属日，即前一天）</t>
  </si>
  <si>
    <t>二、工作簿结构</t>
  </si>
  <si>
    <t>① 导出说明</t>
  </si>
  <si>
    <t>本页：导出口径、字段说明、评分与定级规则、使用步骤</t>
  </si>
  <si>
    <t>② 报名总览</t>
  </si>
  <si>
    <t>概览主表，一行一名候选人：报名信息 + 基本信息 + 自动定级（总分、定级）+ 评审意见。总分与定级由「测评与作品明细」按评审编号自动带出</t>
  </si>
  <si>
    <t>③ 测评与作品明细</t>
  </si>
  <si>
    <t>量表 6 个模块分、量表总分、Q26/Q27 简答原文与后台评分、自动总分与定级、作品信息（标题/视频/构思）。本页是问卷测评与作品的唯一录入与计算区</t>
  </si>
  <si>
    <t>三、问卷评分规则</t>
  </si>
  <si>
    <t>问卷构成</t>
  </si>
  <si>
    <t>共 27 题 = 25 道量表题（自评，1–5 分）+ 2 道简答题（后台评分，每题 0–10 分）</t>
  </si>
  <si>
    <t>量表计分</t>
  </si>
  <si>
    <t>每题 1–5 分：5 完全符合 / 4 比较符合 / 3 一般符合 / 2 不太符合 / 1 完全不符合</t>
  </si>
  <si>
    <t>六大模块</t>
  </si>
  <si>
    <t>模块一 表达沟通 5 题(满 25)；模块二 差异化特质 5 题(满 25)；模块三 跨界专业 4 题(满 20)；模块四 镜头表现 4 题(满 20)；模块五 学习力/网感 3 题(满 15)；模块六 自驱力/抗压 4 题(满 20)。量表总分满分 125</t>
  </si>
  <si>
    <t>简答计分</t>
  </si>
  <si>
    <t>Q26 深耕爱好与跨界领域、Q27 个人人设与差异化定位；每题 0–10 分，合计满分 20，为 ABS 孵化定级核心加分项</t>
  </si>
  <si>
    <t>总分</t>
  </si>
  <si>
    <t>总分 = 量表总分(125) + 简答小计(20)，满分 145</t>
  </si>
  <si>
    <t>四、自动定级规则（与系统后台完全一致）</t>
  </si>
  <si>
    <t>定级</t>
  </si>
  <si>
    <t>判定条件（同时满足）</t>
  </si>
  <si>
    <t>定位与资源</t>
  </si>
  <si>
    <t>S级·标杆IP</t>
  </si>
  <si>
    <t>总分≥112 且 量表≥102 且 简答≥10
核心标杆 IP，重点全案扶持，代表品牌专业形象，承担行业发声与破圈</t>
  </si>
  <si>
    <t>A级·主力IP</t>
  </si>
  <si>
    <t>总分≥88 且 量表≥80 且 简答≥4
中坚主力 IP，半托管陪跑孵化，重点资源倾斜，矩阵核心转化力量</t>
  </si>
  <si>
    <t>B级·储备IP</t>
  </si>
  <si>
    <t>总分≥65 且 量表≥60
储备孵化 IP，先做图文/长文/理财通笔记，循序渐进，达标后晋升 A 级</t>
  </si>
  <si>
    <t>暂不推荐·幕后支持</t>
  </si>
  <si>
    <t>未达到上述标准
仅做内容幕后撰稿、素材支持，不建议出镜做个人 IP</t>
  </si>
  <si>
    <t>审核状态</t>
  </si>
  <si>
    <t>【星火计划】财经类自媒体创作者选拔 · 每日报名总览</t>
  </si>
  <si>
    <t>报名信息</t>
  </si>
  <si>
    <t>基本信息</t>
  </si>
  <si>
    <t>综合定级（满分 145，自动带出）</t>
  </si>
  <si>
    <t>评审</t>
  </si>
  <si>
    <t>序号</t>
  </si>
  <si>
    <t>数据日期</t>
  </si>
  <si>
    <t>评审编号</t>
  </si>
  <si>
    <t>提交时间</t>
  </si>
  <si>
    <t>问卷完成时间</t>
  </si>
  <si>
    <t>姓名</t>
  </si>
  <si>
    <t>性别</t>
  </si>
  <si>
    <t>所属部门/团队</t>
  </si>
  <si>
    <t>现任岗位/职级</t>
  </si>
  <si>
    <t>一句话介绍</t>
  </si>
  <si>
    <t>本人账号风格</t>
  </si>
  <si>
    <t>总分(145)</t>
  </si>
  <si>
    <t>系统定级</t>
  </si>
  <si>
    <t>评审意见</t>
  </si>
  <si>
    <t>2026-10-26</t>
  </si>
  <si>
    <t>示例-S-001</t>
  </si>
  <si>
    <t>2026-10-26 09:12</t>
  </si>
  <si>
    <t>2026-10-26 09:10</t>
  </si>
  <si>
    <t>初筛通过</t>
  </si>
  <si>
    <t>张三（示例）</t>
  </si>
  <si>
    <t>男</t>
  </si>
  <si>
    <t>财富管理部</t>
  </si>
  <si>
    <t>投资顾问</t>
  </si>
  <si>
    <t>擅长把枯燥净值曲线讲成普通人听得懂的理财故事</t>
  </si>
  <si>
    <t>专业硬核解读 / 沉浸式图表说财经</t>
  </si>
  <si>
    <t>示例行·使用前删除</t>
  </si>
  <si>
    <t>示例-A-002</t>
  </si>
  <si>
    <t>2026-10-26 10:35</t>
  </si>
  <si>
    <t>2026-10-26 10:33</t>
  </si>
  <si>
    <t>待初筛</t>
  </si>
  <si>
    <t>李四（示例）</t>
  </si>
  <si>
    <t>女</t>
  </si>
  <si>
    <t>投研部</t>
  </si>
  <si>
    <t>行业研究员</t>
  </si>
  <si>
    <t>深耕消费行业，镜头感不错，能把行业研究讲得接地气</t>
  </si>
  <si>
    <t>专家派 / 口播解读</t>
  </si>
  <si>
    <t>示例-B-003</t>
  </si>
  <si>
    <t>2026-10-26 14:02</t>
  </si>
  <si>
    <t>2026-10-26 14:00</t>
  </si>
  <si>
    <t>待定</t>
  </si>
  <si>
    <t>王五（示例）</t>
  </si>
  <si>
    <t>渠道管理部</t>
  </si>
  <si>
    <t>渠道经理</t>
  </si>
  <si>
    <t>乐于分享，观点输出积极，镜头表现还需打磨</t>
  </si>
  <si>
    <t>轻松幽默脱口秀</t>
  </si>
  <si>
    <t>示例-X-004</t>
  </si>
  <si>
    <t>2026-10-26 16:48</t>
  </si>
  <si>
    <t>2026-10-26 16:45</t>
  </si>
  <si>
    <t>未通过</t>
  </si>
  <si>
    <t>赵六（示例）</t>
  </si>
  <si>
    <t>运营部</t>
  </si>
  <si>
    <t>运营专员</t>
  </si>
  <si>
    <t>愿意尝试但出镜表达偏弱、内容辨识度不足</t>
  </si>
  <si>
    <t>其它</t>
  </si>
  <si>
    <t>【星火计划】问卷测评与作品明细（量表 6 模块 · Q26/Q27 简答评分 · 作品信息）</t>
  </si>
  <si>
    <t>量表测评（满分 125）</t>
  </si>
  <si>
    <t>简答评分（满分 20）</t>
  </si>
  <si>
    <t>综合定级（满分 145）</t>
  </si>
  <si>
    <t>作品信息</t>
  </si>
  <si>
    <t>备注</t>
  </si>
  <si>
    <t>模块一 表达沟通(25)</t>
  </si>
  <si>
    <t>模块二 差异化特质(25)</t>
  </si>
  <si>
    <t>模块三 跨界专业(20)</t>
  </si>
  <si>
    <t>模块四 镜头表现(20)</t>
  </si>
  <si>
    <t>模块五 学习力网感(15)</t>
  </si>
  <si>
    <t>模块六 自驱力抗压(20)</t>
  </si>
  <si>
    <t>量表总分(125)（自动）</t>
  </si>
  <si>
    <t>Q26 深耕爱好与跨界领域（原文）</t>
  </si>
  <si>
    <t>Q26 得分(0–10)</t>
  </si>
  <si>
    <t>Q27 个人人设与差异化定位（原文）</t>
  </si>
  <si>
    <t>Q27 得分(0–10)</t>
  </si>
  <si>
    <t>简答小计(20)（自动）</t>
  </si>
  <si>
    <t>总分(145)（自动）</t>
  </si>
  <si>
    <t>系统定级（自动）</t>
  </si>
  <si>
    <t>作品标题</t>
  </si>
  <si>
    <t>视频文件名</t>
  </si>
  <si>
    <t>视频时长</t>
  </si>
  <si>
    <t>视频大小</t>
  </si>
  <si>
    <t>视频链接</t>
  </si>
  <si>
    <t>作品构思</t>
  </si>
  <si>
    <t>评分人/备注</t>
  </si>
  <si>
    <t>深耕古典音乐 10 年，善用音乐对位法类比资产配置，常以乐器分工类比组合分散。</t>
  </si>
  <si>
    <t>想做“把基金讲成音乐厅”的知识科普派，区别于纯念稿博主，用跨界类比让外行秒懂。</t>
  </si>
  <si>
    <t>《3 分钟看懂为什么要定投》</t>
  </si>
  <si>
    <t>demo_S.mp4</t>
  </si>
  <si>
    <t>01:48</t>
  </si>
  <si>
    <t>36.2MB</t>
  </si>
  <si>
    <t>https://example.com/s</t>
  </si>
  <si>
    <t>面向刚工作年轻人，用定投计算器演示长期复利，传递“尽早开始、小步坚持”的理财观。</t>
  </si>
  <si>
    <t>马拉松跑者，完成 3 场全马，习惯用配速、心率区间讲投资节奏与仓位管理。</t>
  </si>
  <si>
    <t>温和理性的“研究型闺蜜”，用一手行业调研讲消费，拒绝术语堆砌。</t>
  </si>
  <si>
    <t>《消费股还能买吗》</t>
  </si>
  <si>
    <t>demo_A.mp4</t>
  </si>
  <si>
    <t>01:55</t>
  </si>
  <si>
    <t>41.0MB</t>
  </si>
  <si>
    <t>https://example.com/a</t>
  </si>
  <si>
    <t>面向有一定基础的基民，拆解消费行业估值逻辑与三条跟踪指标。</t>
  </si>
  <si>
    <t>脱口秀爱好者，业余开放麦演员，擅长把生活段子改写成理财场景。</t>
  </si>
  <si>
    <t>毒舌幽默的避坑型博主，人设还在打磨，与现有生活类博主区分度一般。</t>
  </si>
  <si>
    <t>《理财小白避坑指南》</t>
  </si>
  <si>
    <t>demo_B.mp4</t>
  </si>
  <si>
    <t>01:30</t>
  </si>
  <si>
    <t>28.5MB</t>
  </si>
  <si>
    <t>https://example.com/b</t>
  </si>
  <si>
    <t>面向理财新手，情景演绎常见三个销售误导场景并给出避坑建议。</t>
  </si>
  <si>
    <t>暂无明确深耕领域，日常喜欢刷短视频、记录生活。</t>
  </si>
  <si>
    <t>还没有清晰人设，想先尝试出镜，和其他博主差异不明显。</t>
  </si>
  <si>
    <t>《我的第一只基金》</t>
  </si>
  <si>
    <t>demo_X.mp4</t>
  </si>
  <si>
    <t>01:20</t>
  </si>
  <si>
    <t>22.1MB</t>
  </si>
  <si>
    <t>https://example.com/x</t>
  </si>
  <si>
    <t>记录自己第一次买基金的过程，内容偏个人随感，观点与受众定位较模糊。</t>
  </si>
  <si>
    <t>满分</t>
  </si>
  <si>
    <t>【星火计划】问卷题库与评分规则（共 27 题）</t>
  </si>
  <si>
    <t>题号</t>
  </si>
  <si>
    <t>所属模块</t>
  </si>
  <si>
    <t>题型</t>
  </si>
  <si>
    <t>题干</t>
  </si>
  <si>
    <t>评分方式</t>
  </si>
  <si>
    <t>Q1</t>
  </si>
  <si>
    <t>模块一·表达沟通能力</t>
  </si>
  <si>
    <t>量表题</t>
  </si>
  <si>
    <t>我说话，是为了让听得懂的人听懂，还是为了让听不懂的人也愿意听懂？我更看重后者</t>
  </si>
  <si>
    <t>1–5 单选（5 完全符合 → 1 完全不符合）</t>
  </si>
  <si>
    <t>Q2</t>
  </si>
  <si>
    <t>语言于我，是照亮思维的灯，还是困住思想的牢？我更多时候觉得它能照亮</t>
  </si>
  <si>
    <t>Q3</t>
  </si>
  <si>
    <t>如果沉默是金，我愿意为了把话说漂亮，舍得让金子破财</t>
  </si>
  <si>
    <t>Q4</t>
  </si>
  <si>
    <t>真正的表达，是让人记住我说的话，还是让人记住我这个人？我更看重后者</t>
  </si>
  <si>
    <t>Q5</t>
  </si>
  <si>
    <t>一个观点在我眼里常常不止一副面孔，我能看见并说出它们</t>
  </si>
  <si>
    <t>Q6</t>
  </si>
  <si>
    <t>模块二·差异化特质/深耕爱好</t>
  </si>
  <si>
    <t>在人群里，我是那个“被认出的”，还是“被遗忘的”？我更有底气相信是前者</t>
  </si>
  <si>
    <t>Q7</t>
  </si>
  <si>
    <t>我的独特不是刻意长出来的，而是它本来就在，我只是敢承认它</t>
  </si>
  <si>
    <t>Q8</t>
  </si>
  <si>
    <t>我愿意把内在那个“不一样的我”公之于众，哪怕它不合群</t>
  </si>
  <si>
    <t>Q9</t>
  </si>
  <si>
    <t>如果人生是一场叙事，我觉得我的故事线自带风格，而不是复制粘贴</t>
  </si>
  <si>
    <t>Q10</t>
  </si>
  <si>
    <t>我有一件想对它说“因为热爱，所以坚持”的事，它定义了我的一部分</t>
  </si>
  <si>
    <t>Q11</t>
  </si>
  <si>
    <t>模块三·跨界专业能力</t>
  </si>
  <si>
    <t>我相信真正的智慧是“一通百通”，两个不相关的领域往往通向同一个道理</t>
  </si>
  <si>
    <t>Q12</t>
  </si>
  <si>
    <t>我习惯从别的领域借来透镜，去看那些我以为早已看懂的金融事物</t>
  </si>
  <si>
    <t>Q13</t>
  </si>
  <si>
    <t>一个问题，我总能找到不止一种解释的坐标系，而不是只认一个标准答案</t>
  </si>
  <si>
    <t>Q14</t>
  </si>
  <si>
    <t>我掌握的跨界知识，能让我说出“外行说不出、内行没想到”的话</t>
  </si>
  <si>
    <t>Q15</t>
  </si>
  <si>
    <t>模块四·镜头表现力/出镜意愿</t>
  </si>
  <si>
    <t>被观看这件事，对我而言不是威胁，而是一种诚实的在场</t>
  </si>
  <si>
    <t>Q16</t>
  </si>
  <si>
    <t>当无数目光聚焦于我，我仍能保有“我是谁”的稳定，而不是被目光改造</t>
  </si>
  <si>
    <t>Q17</t>
  </si>
  <si>
    <t>我愿意把自己暴露在评判之下，因为我相信真实比完美更有力量</t>
  </si>
  <si>
    <t>Q18</t>
  </si>
  <si>
    <t>我能在被反复审视时保持思考的从容，而不是急着证明自己</t>
  </si>
  <si>
    <t>Q19</t>
  </si>
  <si>
    <t>模块五·学习力/内容网感</t>
  </si>
  <si>
    <t>我对世界的运作总有一种“为什么”的好奇，答案之外我还想“那然后呢”</t>
  </si>
  <si>
    <t>Q20</t>
  </si>
  <si>
    <t>变化对我而言不是打扰，而是世界在向我发出新的邀请</t>
  </si>
  <si>
    <t>Q21</t>
  </si>
  <si>
    <t>我能从众人的喧嚣里，抽出那条“大家其实都在意、但没人说破”的线索</t>
  </si>
  <si>
    <t>Q22</t>
  </si>
  <si>
    <t>模块六·自驱力/抗压/持续产出</t>
  </si>
  <si>
    <t>我做一件事，意义往往在我出发时就已经存在，不需要等结果来赋予</t>
  </si>
  <si>
    <t>Q23</t>
  </si>
  <si>
    <t>当过程漫长而无反馈，我更相信“事物自有其节律”，而不是急于听到回声</t>
  </si>
  <si>
    <t>Q24</t>
  </si>
  <si>
    <t>外界的否定和误解，动摇的是我的处境，而不是我之为我的根基</t>
  </si>
  <si>
    <t>Q25</t>
  </si>
  <si>
    <t>我愿意把时间铺在一条长路上，因为我相信“长期主义”终会塑造出不一样的自己</t>
  </si>
  <si>
    <t>Q26</t>
  </si>
  <si>
    <t>简答题·ABS 定级核心加分项</t>
  </si>
  <si>
    <t>简答题</t>
  </si>
  <si>
    <t>【深耕爱好与跨界领域】除金融业务之外，你深耕的爱好/跨界专业领域是什么？简单介绍你的积累和擅长输出的内容方向
参考：例如：深耕古典音乐 10 年/硬核科幻迷/马拉松跑者/心理咨询师认证……善于用音乐对位法类比资产配置</t>
  </si>
  <si>
    <t>后台人工评分 0–10 分</t>
  </si>
  <si>
    <t>Q27</t>
  </si>
  <si>
    <t>【个人人设与差异化定位】如果让你做财经投教账号，你希望打造什么样的个人人设，和别的理财博主最大的区别是什么？
参考：例如：温和理性的闺蜜型财务管家/毒舌一针见血的投顾老兵……坚决不讲晦涩术语，专注教年轻人建立第一份底仓</t>
  </si>
  <si>
    <t>自动定级阈值（量表满分 125 + 简答满分 20 = 总分满分 145）</t>
  </si>
  <si>
    <t>量表分</t>
  </si>
  <si>
    <t>简答分</t>
  </si>
  <si>
    <t>定位</t>
  </si>
  <si>
    <t>资源扶持</t>
  </si>
  <si>
    <t>≥112</t>
  </si>
  <si>
    <t>≥102</t>
  </si>
  <si>
    <t>≥10</t>
  </si>
  <si>
    <t>品牌标杆 IP、破圈传播</t>
  </si>
  <si>
    <t>重点全案扶持</t>
  </si>
  <si>
    <t>≥88</t>
  </si>
  <si>
    <t>≥80</t>
  </si>
  <si>
    <t>≥4</t>
  </si>
  <si>
    <t>中坚主力 IP</t>
  </si>
  <si>
    <t>半托管陪跑、资源倾斜</t>
  </si>
  <si>
    <t>≥65</t>
  </si>
  <si>
    <t>≥60</t>
  </si>
  <si>
    <t>—</t>
  </si>
  <si>
    <t>储备孵化 IP</t>
  </si>
  <si>
    <t>先图文/笔记，达标晋升</t>
  </si>
  <si>
    <t>&lt;65 或量表&lt;60</t>
  </si>
  <si>
    <t>幕后支持</t>
  </si>
  <si>
    <t>撰稿/素材，不建议出镜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</si>
</sst>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5"/>
      <color rgb="FFFFFFFF"/>
      <name val="微软雅黑"/>
      <family val="2"/>
      <charset val="134"/>
    </font>
    <font>
      <i/>
      <sz val="10"/>
      <color rgb="FFB8860B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33333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8A6410"/>
      <name val="微软雅黑"/>
      <family val="2"/>
      <charset val="134"/>
    </font>
    <font>
      <b/>
      <sz val="10"/>
      <color rgb="FF2E7D32"/>
      <name val="微软雅黑"/>
      <family val="2"/>
      <charset val="134"/>
    </font>
    <font>
      <b/>
      <sz val="10"/>
      <color rgb="FFE65100"/>
      <name val="微软雅黑"/>
      <family val="2"/>
      <charset val="134"/>
    </font>
    <font>
      <b/>
      <sz val="10"/>
      <color rgb="FF616161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9"/>
      <color rgb="FF4A2C10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A2C10"/>
      </patternFill>
    </fill>
    <fill>
      <patternFill patternType="solid">
        <fgColor rgb="FFB8860B"/>
      </patternFill>
    </fill>
    <fill>
      <patternFill patternType="solid">
        <fgColor rgb="FFF5EEE2"/>
      </patternFill>
    </fill>
    <fill>
      <patternFill patternType="solid">
        <fgColor rgb="FFFDF6E8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EEEEE"/>
      </patternFill>
    </fill>
    <fill>
      <patternFill patternType="solid">
        <fgColor rgb="FFFAF6EC"/>
      </patternFill>
    </fill>
    <fill>
      <patternFill patternType="solid">
        <fgColor rgb="FFFFFBEA"/>
      </patternFill>
    </fill>
  </fills>
  <borders count="4">
    <border>
      <left/>
      <right/>
      <top/>
      <bottom/>
      <diagonal/>
    </border>
    <border>
      <left style="thin">
        <color rgb="FFD9C9A8"/>
      </left>
      <right style="thin">
        <color rgb="FFD9C9A8"/>
      </right>
      <top style="thin">
        <color rgb="FFD9C9A8"/>
      </top>
      <bottom style="thin">
        <color rgb="FFD9C9A8"/>
      </bottom>
      <diagonal/>
    </border>
    <border>
      <left style="thin">
        <color rgb="FFD9C9A8"/>
      </left>
      <right style="thin">
        <color rgb="FFD9C9A8"/>
      </right>
      <top/>
      <bottom/>
      <diagonal/>
    </border>
    <border>
      <left style="thin">
        <color rgb="FFD9C9A8"/>
      </left>
      <right style="thin">
        <color rgb="FFD9C9A8"/>
      </right>
      <top/>
      <bottom style="thin">
        <color rgb="FFD9C9A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3" borderId="0" xfId="0" applyFont="1" applyFill="1" applyAlignment="1">
      <alignment horizontal="center" vertical="center" wrapText="1"/>
    </xf>
    <xf numFmtId="0" fontId="0" fillId="0" borderId="0" xfId="0" applyFont="1"/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8">
    <dxf>
      <font>
        <b/>
        <color rgb="FF616161"/>
        <name val="微软雅黑"/>
      </font>
      <fill>
        <patternFill patternType="solid">
          <fgColor rgb="FFEEEEEE"/>
        </patternFill>
      </fill>
    </dxf>
    <dxf>
      <font>
        <b/>
        <color rgb="FFE65100"/>
        <name val="微软雅黑"/>
      </font>
      <fill>
        <patternFill patternType="solid">
          <fgColor rgb="FFFFF3E0"/>
        </patternFill>
      </fill>
    </dxf>
    <dxf>
      <font>
        <b/>
        <color rgb="FF2E7D32"/>
        <name val="微软雅黑"/>
      </font>
      <fill>
        <patternFill patternType="solid">
          <fgColor rgb="FFE8F5E9"/>
        </patternFill>
      </fill>
    </dxf>
    <dxf>
      <font>
        <b/>
        <color rgb="FF8A6410"/>
        <name val="微软雅黑"/>
      </font>
      <fill>
        <patternFill patternType="solid">
          <fgColor rgb="FFFDF6E8"/>
        </patternFill>
      </fill>
    </dxf>
    <dxf>
      <font>
        <b/>
        <color rgb="FF616161"/>
        <name val="微软雅黑"/>
      </font>
      <fill>
        <patternFill patternType="solid">
          <fgColor rgb="FFEEEEEE"/>
        </patternFill>
      </fill>
    </dxf>
    <dxf>
      <font>
        <b/>
        <color rgb="FFE65100"/>
        <name val="微软雅黑"/>
      </font>
      <fill>
        <patternFill patternType="solid">
          <fgColor rgb="FFFFF3E0"/>
        </patternFill>
      </fill>
    </dxf>
    <dxf>
      <font>
        <b/>
        <color rgb="FF2E7D32"/>
        <name val="微软雅黑"/>
      </font>
      <fill>
        <patternFill patternType="solid">
          <fgColor rgb="FFE8F5E9"/>
        </patternFill>
      </fill>
    </dxf>
    <dxf>
      <font>
        <b/>
        <color rgb="FF8A6410"/>
        <name val="微软雅黑"/>
      </font>
      <fill>
        <patternFill patternType="solid">
          <fgColor rgb="FFFDF6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showGridLines="0" tabSelected="1" workbookViewId="0">
      <selection activeCell="B10" sqref="B10:C10"/>
    </sheetView>
  </sheetViews>
  <sheetFormatPr defaultRowHeight="13.5" x14ac:dyDescent="0.15"/>
  <cols>
    <col min="1" max="1" width="3" customWidth="1"/>
    <col min="2" max="2" width="20" customWidth="1"/>
    <col min="3" max="3" width="82" customWidth="1"/>
    <col min="4" max="4" width="3" customWidth="1"/>
  </cols>
  <sheetData>
    <row r="2" spans="2:3" ht="30" customHeight="1" x14ac:dyDescent="0.15">
      <c r="B2" s="20" t="s">
        <v>0</v>
      </c>
      <c r="C2" s="17"/>
    </row>
    <row r="3" spans="2:3" x14ac:dyDescent="0.15">
      <c r="B3" s="16" t="s">
        <v>1</v>
      </c>
      <c r="C3" s="17"/>
    </row>
    <row r="5" spans="2:3" ht="21.95" customHeight="1" x14ac:dyDescent="0.15">
      <c r="B5" s="19" t="s">
        <v>2</v>
      </c>
      <c r="C5" s="17"/>
    </row>
    <row r="6" spans="2:3" ht="30" customHeight="1" x14ac:dyDescent="0.15">
      <c r="B6" s="1" t="s">
        <v>3</v>
      </c>
      <c r="C6" s="2" t="s">
        <v>4</v>
      </c>
    </row>
    <row r="7" spans="2:3" ht="30" customHeight="1" x14ac:dyDescent="0.15">
      <c r="B7" s="1" t="s">
        <v>5</v>
      </c>
      <c r="C7" s="2" t="s">
        <v>6</v>
      </c>
    </row>
    <row r="8" spans="2:3" ht="30" customHeight="1" x14ac:dyDescent="0.15">
      <c r="B8" s="1" t="s">
        <v>7</v>
      </c>
      <c r="C8" s="2" t="s">
        <v>8</v>
      </c>
    </row>
    <row r="10" spans="2:3" ht="21.95" customHeight="1" x14ac:dyDescent="0.15">
      <c r="B10" s="19" t="s">
        <v>9</v>
      </c>
      <c r="C10" s="17"/>
    </row>
    <row r="11" spans="2:3" ht="38.1" customHeight="1" x14ac:dyDescent="0.15">
      <c r="B11" s="1" t="s">
        <v>10</v>
      </c>
      <c r="C11" s="2" t="s">
        <v>11</v>
      </c>
    </row>
    <row r="12" spans="2:3" ht="38.1" customHeight="1" x14ac:dyDescent="0.15">
      <c r="B12" s="1" t="s">
        <v>12</v>
      </c>
      <c r="C12" s="2" t="s">
        <v>13</v>
      </c>
    </row>
    <row r="13" spans="2:3" ht="38.1" customHeight="1" x14ac:dyDescent="0.15">
      <c r="B13" s="1" t="s">
        <v>14</v>
      </c>
      <c r="C13" s="2" t="s">
        <v>15</v>
      </c>
    </row>
    <row r="15" spans="2:3" ht="21.95" customHeight="1" x14ac:dyDescent="0.15">
      <c r="B15" s="19" t="s">
        <v>16</v>
      </c>
      <c r="C15" s="17"/>
    </row>
    <row r="16" spans="2:3" ht="44.1" customHeight="1" x14ac:dyDescent="0.15">
      <c r="B16" s="1" t="s">
        <v>17</v>
      </c>
      <c r="C16" s="2" t="s">
        <v>18</v>
      </c>
    </row>
    <row r="17" spans="2:4" ht="44.1" customHeight="1" x14ac:dyDescent="0.15">
      <c r="B17" s="1" t="s">
        <v>19</v>
      </c>
      <c r="C17" s="2" t="s">
        <v>20</v>
      </c>
    </row>
    <row r="18" spans="2:4" ht="44.1" customHeight="1" x14ac:dyDescent="0.15">
      <c r="B18" s="1" t="s">
        <v>21</v>
      </c>
      <c r="C18" s="2" t="s">
        <v>22</v>
      </c>
    </row>
    <row r="19" spans="2:4" ht="44.1" customHeight="1" x14ac:dyDescent="0.15">
      <c r="B19" s="1" t="s">
        <v>23</v>
      </c>
      <c r="C19" s="2" t="s">
        <v>24</v>
      </c>
    </row>
    <row r="20" spans="2:4" ht="44.1" customHeight="1" x14ac:dyDescent="0.15">
      <c r="B20" s="1" t="s">
        <v>25</v>
      </c>
      <c r="C20" s="2" t="s">
        <v>26</v>
      </c>
    </row>
    <row r="22" spans="2:4" ht="21.95" customHeight="1" x14ac:dyDescent="0.15">
      <c r="B22" s="19" t="s">
        <v>27</v>
      </c>
      <c r="C22" s="17"/>
    </row>
    <row r="23" spans="2:4" ht="20.100000000000001" customHeight="1" x14ac:dyDescent="0.15">
      <c r="B23" s="3" t="s">
        <v>28</v>
      </c>
      <c r="C23" s="21" t="s">
        <v>29</v>
      </c>
      <c r="D23" s="3" t="s">
        <v>30</v>
      </c>
    </row>
    <row r="24" spans="2:4" ht="39.950000000000003" customHeight="1" x14ac:dyDescent="0.15">
      <c r="B24" s="4" t="s">
        <v>31</v>
      </c>
      <c r="C24" s="18" t="s">
        <v>32</v>
      </c>
    </row>
    <row r="25" spans="2:4" ht="39.950000000000003" customHeight="1" x14ac:dyDescent="0.15">
      <c r="B25" s="5" t="s">
        <v>33</v>
      </c>
      <c r="C25" s="18" t="s">
        <v>34</v>
      </c>
    </row>
    <row r="26" spans="2:4" ht="39.950000000000003" customHeight="1" x14ac:dyDescent="0.15">
      <c r="B26" s="6" t="s">
        <v>35</v>
      </c>
      <c r="C26" s="18" t="s">
        <v>36</v>
      </c>
    </row>
    <row r="27" spans="2:4" ht="39.950000000000003" customHeight="1" x14ac:dyDescent="0.15">
      <c r="B27" s="7" t="s">
        <v>37</v>
      </c>
      <c r="C27" s="18" t="s">
        <v>38</v>
      </c>
    </row>
  </sheetData>
  <mergeCells count="11">
    <mergeCell ref="B2:C2"/>
    <mergeCell ref="C26"/>
    <mergeCell ref="B15:C15"/>
    <mergeCell ref="C25"/>
    <mergeCell ref="C27"/>
    <mergeCell ref="B5:C5"/>
    <mergeCell ref="B22:C22"/>
    <mergeCell ref="C23"/>
    <mergeCell ref="B3:C3"/>
    <mergeCell ref="C24"/>
    <mergeCell ref="B10:C10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showGridLines="0" zoomScaleNormal="100" workbookViewId="0">
      <pane xSplit="5" ySplit="3" topLeftCell="F4" activePane="bottomRight" state="frozen"/>
      <selection pane="topRight"/>
      <selection pane="bottomLeft"/>
      <selection pane="bottomRight" activeCell="D9" sqref="D9"/>
    </sheetView>
  </sheetViews>
  <sheetFormatPr defaultRowHeight="13.5" x14ac:dyDescent="0.15"/>
  <cols>
    <col min="1" max="1" width="6" customWidth="1"/>
    <col min="2" max="2" width="12" customWidth="1"/>
    <col min="3" max="3" width="13" customWidth="1"/>
    <col min="4" max="5" width="17" customWidth="1"/>
    <col min="6" max="6" width="11" customWidth="1"/>
    <col min="7" max="7" width="9" customWidth="1"/>
    <col min="8" max="8" width="7" customWidth="1"/>
    <col min="9" max="9" width="16" customWidth="1"/>
    <col min="10" max="10" width="15" customWidth="1"/>
    <col min="11" max="11" width="26" customWidth="1"/>
    <col min="12" max="12" width="20" customWidth="1"/>
    <col min="13" max="13" width="10" customWidth="1"/>
    <col min="14" max="14" width="16" customWidth="1"/>
    <col min="15" max="15" width="22" customWidth="1"/>
  </cols>
  <sheetData>
    <row r="1" spans="1:15" ht="30" customHeight="1" x14ac:dyDescent="0.15">
      <c r="A1" s="23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21.95" customHeight="1" x14ac:dyDescent="0.15">
      <c r="A2" s="22" t="s">
        <v>41</v>
      </c>
      <c r="B2" s="28"/>
      <c r="C2" s="28"/>
      <c r="D2" s="28"/>
      <c r="E2" s="28"/>
      <c r="F2" s="28"/>
      <c r="G2" s="22" t="s">
        <v>42</v>
      </c>
      <c r="H2" s="28"/>
      <c r="I2" s="28"/>
      <c r="J2" s="28"/>
      <c r="K2" s="28"/>
      <c r="L2" s="28"/>
      <c r="M2" s="21" t="s">
        <v>43</v>
      </c>
      <c r="N2" s="28"/>
      <c r="O2" s="22" t="s">
        <v>44</v>
      </c>
    </row>
    <row r="3" spans="1:15" ht="38.1" customHeight="1" x14ac:dyDescent="0.15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39</v>
      </c>
      <c r="G3" s="8" t="s">
        <v>50</v>
      </c>
      <c r="H3" s="8" t="s">
        <v>51</v>
      </c>
      <c r="I3" s="8" t="s">
        <v>52</v>
      </c>
      <c r="J3" s="8" t="s">
        <v>53</v>
      </c>
      <c r="K3" s="8" t="s">
        <v>54</v>
      </c>
      <c r="L3" s="8" t="s">
        <v>55</v>
      </c>
      <c r="M3" s="9" t="s">
        <v>56</v>
      </c>
      <c r="N3" s="9" t="s">
        <v>57</v>
      </c>
      <c r="O3" s="8" t="s">
        <v>58</v>
      </c>
    </row>
    <row r="4" spans="1:15" ht="42" customHeight="1" x14ac:dyDescent="0.15">
      <c r="A4" s="29">
        <f t="shared" ref="A4:A35" si="0">IF($G4="","",ROW()-3)</f>
        <v>1</v>
      </c>
      <c r="B4" s="29" t="s">
        <v>59</v>
      </c>
      <c r="C4" s="29" t="s">
        <v>60</v>
      </c>
      <c r="D4" s="29" t="s">
        <v>61</v>
      </c>
      <c r="E4" s="29" t="s">
        <v>62</v>
      </c>
      <c r="F4" s="29" t="s">
        <v>63</v>
      </c>
      <c r="G4" s="29" t="s">
        <v>64</v>
      </c>
      <c r="H4" s="29" t="s">
        <v>65</v>
      </c>
      <c r="I4" s="29" t="s">
        <v>66</v>
      </c>
      <c r="J4" s="29" t="s">
        <v>67</v>
      </c>
      <c r="K4" s="30" t="s">
        <v>68</v>
      </c>
      <c r="L4" s="30" t="s">
        <v>69</v>
      </c>
      <c r="M4" s="29">
        <f>IF($G4="","",IFERROR(VLOOKUP($C4,测评与作品明细!$C$4:$Y$56,15,FALSE),""))</f>
        <v>141</v>
      </c>
      <c r="N4" s="29" t="str">
        <f>IF($G4="","",IFERROR(VLOOKUP($C4,测评与作品明细!$C$4:$Y$56,16,FALSE),""))</f>
        <v>S级·标杆IP</v>
      </c>
      <c r="O4" s="30" t="s">
        <v>70</v>
      </c>
    </row>
    <row r="5" spans="1:15" ht="42" customHeight="1" x14ac:dyDescent="0.15">
      <c r="A5" s="29">
        <f t="shared" si="0"/>
        <v>2</v>
      </c>
      <c r="B5" s="29" t="s">
        <v>59</v>
      </c>
      <c r="C5" s="29" t="s">
        <v>71</v>
      </c>
      <c r="D5" s="29" t="s">
        <v>72</v>
      </c>
      <c r="E5" s="29" t="s">
        <v>73</v>
      </c>
      <c r="F5" s="29" t="s">
        <v>74</v>
      </c>
      <c r="G5" s="29" t="s">
        <v>75</v>
      </c>
      <c r="H5" s="29" t="s">
        <v>76</v>
      </c>
      <c r="I5" s="29" t="s">
        <v>77</v>
      </c>
      <c r="J5" s="29" t="s">
        <v>78</v>
      </c>
      <c r="K5" s="30" t="s">
        <v>79</v>
      </c>
      <c r="L5" s="30" t="s">
        <v>80</v>
      </c>
      <c r="M5" s="29">
        <f>IF($G5="","",IFERROR(VLOOKUP($C5,测评与作品明细!$C$4:$Y$56,15,FALSE),""))</f>
        <v>103</v>
      </c>
      <c r="N5" s="29" t="str">
        <f>IF($G5="","",IFERROR(VLOOKUP($C5,测评与作品明细!$C$4:$Y$56,16,FALSE),""))</f>
        <v>A级·主力IP</v>
      </c>
      <c r="O5" s="30" t="s">
        <v>70</v>
      </c>
    </row>
    <row r="6" spans="1:15" ht="42" customHeight="1" x14ac:dyDescent="0.15">
      <c r="A6" s="29">
        <f t="shared" si="0"/>
        <v>3</v>
      </c>
      <c r="B6" s="29" t="s">
        <v>59</v>
      </c>
      <c r="C6" s="29" t="s">
        <v>81</v>
      </c>
      <c r="D6" s="29" t="s">
        <v>82</v>
      </c>
      <c r="E6" s="29" t="s">
        <v>83</v>
      </c>
      <c r="F6" s="29" t="s">
        <v>84</v>
      </c>
      <c r="G6" s="29" t="s">
        <v>85</v>
      </c>
      <c r="H6" s="29" t="s">
        <v>65</v>
      </c>
      <c r="I6" s="29" t="s">
        <v>86</v>
      </c>
      <c r="J6" s="29" t="s">
        <v>87</v>
      </c>
      <c r="K6" s="30" t="s">
        <v>88</v>
      </c>
      <c r="L6" s="30" t="s">
        <v>89</v>
      </c>
      <c r="M6" s="29">
        <f>IF($G6="","",IFERROR(VLOOKUP($C6,测评与作品明细!$C$4:$Y$56,15,FALSE),""))</f>
        <v>87</v>
      </c>
      <c r="N6" s="29" t="str">
        <f>IF($G6="","",IFERROR(VLOOKUP($C6,测评与作品明细!$C$4:$Y$56,16,FALSE),""))</f>
        <v>B级·储备IP</v>
      </c>
      <c r="O6" s="30" t="s">
        <v>70</v>
      </c>
    </row>
    <row r="7" spans="1:15" ht="42" customHeight="1" x14ac:dyDescent="0.15">
      <c r="A7" s="29">
        <f t="shared" si="0"/>
        <v>4</v>
      </c>
      <c r="B7" s="29" t="s">
        <v>59</v>
      </c>
      <c r="C7" s="29" t="s">
        <v>90</v>
      </c>
      <c r="D7" s="29" t="s">
        <v>91</v>
      </c>
      <c r="E7" s="29" t="s">
        <v>92</v>
      </c>
      <c r="F7" s="29" t="s">
        <v>93</v>
      </c>
      <c r="G7" s="29" t="s">
        <v>94</v>
      </c>
      <c r="H7" s="29" t="s">
        <v>76</v>
      </c>
      <c r="I7" s="29" t="s">
        <v>95</v>
      </c>
      <c r="J7" s="29" t="s">
        <v>96</v>
      </c>
      <c r="K7" s="30" t="s">
        <v>97</v>
      </c>
      <c r="L7" s="30" t="s">
        <v>98</v>
      </c>
      <c r="M7" s="29">
        <f>IF($G7="","",IFERROR(VLOOKUP($C7,测评与作品明细!$C$4:$Y$56,15,FALSE),""))</f>
        <v>48</v>
      </c>
      <c r="N7" s="29" t="str">
        <f>IF($G7="","",IFERROR(VLOOKUP($C7,测评与作品明细!$C$4:$Y$56,16,FALSE),""))</f>
        <v>暂不推荐·幕后支持</v>
      </c>
      <c r="O7" s="30" t="s">
        <v>70</v>
      </c>
    </row>
    <row r="8" spans="1:15" ht="30" customHeight="1" x14ac:dyDescent="0.15">
      <c r="A8" s="10" t="str">
        <f t="shared" si="0"/>
        <v/>
      </c>
      <c r="B8" s="10"/>
      <c r="C8" s="10"/>
      <c r="D8" s="10"/>
      <c r="E8" s="10"/>
      <c r="F8" s="10"/>
      <c r="G8" s="10"/>
      <c r="H8" s="10"/>
      <c r="I8" s="10"/>
      <c r="J8" s="10"/>
      <c r="K8" s="11"/>
      <c r="L8" s="11"/>
      <c r="M8" s="12" t="str">
        <f>IF($G8="","",IFERROR(VLOOKUP($C8,测评与作品明细!$C$4:$Y$56,15,FALSE),""))</f>
        <v/>
      </c>
      <c r="N8" s="12" t="str">
        <f>IF($G8="","",IFERROR(VLOOKUP($C8,测评与作品明细!$C$4:$Y$56,16,FALSE),""))</f>
        <v/>
      </c>
      <c r="O8" s="11"/>
    </row>
    <row r="9" spans="1:15" ht="30" customHeight="1" x14ac:dyDescent="0.15">
      <c r="A9" s="10" t="str">
        <f t="shared" si="0"/>
        <v/>
      </c>
      <c r="B9" s="10"/>
      <c r="C9" s="10"/>
      <c r="D9" s="10"/>
      <c r="E9" s="10"/>
      <c r="F9" s="10"/>
      <c r="G9" s="10"/>
      <c r="H9" s="10"/>
      <c r="I9" s="10"/>
      <c r="J9" s="10"/>
      <c r="K9" s="11"/>
      <c r="L9" s="11"/>
      <c r="M9" s="12" t="str">
        <f>IF($G9="","",IFERROR(VLOOKUP($C9,测评与作品明细!$C$4:$Y$56,15,FALSE),""))</f>
        <v/>
      </c>
      <c r="N9" s="12" t="str">
        <f>IF($G9="","",IFERROR(VLOOKUP($C9,测评与作品明细!$C$4:$Y$56,16,FALSE),""))</f>
        <v/>
      </c>
      <c r="O9" s="11"/>
    </row>
    <row r="10" spans="1:15" ht="30" customHeight="1" x14ac:dyDescent="0.15">
      <c r="A10" s="10" t="str">
        <f t="shared" si="0"/>
        <v/>
      </c>
      <c r="B10" s="10"/>
      <c r="C10" s="10"/>
      <c r="D10" s="10"/>
      <c r="E10" s="10"/>
      <c r="F10" s="10"/>
      <c r="G10" s="10"/>
      <c r="H10" s="10"/>
      <c r="I10" s="10"/>
      <c r="J10" s="10"/>
      <c r="K10" s="11"/>
      <c r="L10" s="11"/>
      <c r="M10" s="12" t="str">
        <f>IF($G10="","",IFERROR(VLOOKUP($C10,测评与作品明细!$C$4:$Y$56,15,FALSE),""))</f>
        <v/>
      </c>
      <c r="N10" s="12" t="str">
        <f>IF($G10="","",IFERROR(VLOOKUP($C10,测评与作品明细!$C$4:$Y$56,16,FALSE),""))</f>
        <v/>
      </c>
      <c r="O10" s="11"/>
    </row>
    <row r="11" spans="1:15" ht="30" customHeight="1" x14ac:dyDescent="0.15">
      <c r="A11" s="10" t="str">
        <f t="shared" si="0"/>
        <v/>
      </c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11"/>
      <c r="M11" s="12" t="str">
        <f>IF($G11="","",IFERROR(VLOOKUP($C11,测评与作品明细!$C$4:$Y$56,15,FALSE),""))</f>
        <v/>
      </c>
      <c r="N11" s="12" t="str">
        <f>IF($G11="","",IFERROR(VLOOKUP($C11,测评与作品明细!$C$4:$Y$56,16,FALSE),""))</f>
        <v/>
      </c>
      <c r="O11" s="11"/>
    </row>
    <row r="12" spans="1:15" ht="30" customHeight="1" x14ac:dyDescent="0.15">
      <c r="A12" s="10" t="str">
        <f t="shared" si="0"/>
        <v/>
      </c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11"/>
      <c r="M12" s="12" t="str">
        <f>IF($G12="","",IFERROR(VLOOKUP($C12,测评与作品明细!$C$4:$Y$56,15,FALSE),""))</f>
        <v/>
      </c>
      <c r="N12" s="12" t="str">
        <f>IF($G12="","",IFERROR(VLOOKUP($C12,测评与作品明细!$C$4:$Y$56,16,FALSE),""))</f>
        <v/>
      </c>
      <c r="O12" s="11"/>
    </row>
    <row r="13" spans="1:15" ht="30" customHeight="1" x14ac:dyDescent="0.15">
      <c r="A13" s="10" t="str">
        <f t="shared" si="0"/>
        <v/>
      </c>
      <c r="B13" s="10"/>
      <c r="C13" s="10"/>
      <c r="D13" s="10"/>
      <c r="E13" s="10"/>
      <c r="F13" s="10"/>
      <c r="G13" s="10"/>
      <c r="H13" s="10"/>
      <c r="I13" s="10"/>
      <c r="J13" s="10"/>
      <c r="K13" s="11"/>
      <c r="L13" s="11"/>
      <c r="M13" s="12" t="str">
        <f>IF($G13="","",IFERROR(VLOOKUP($C13,测评与作品明细!$C$4:$Y$56,15,FALSE),""))</f>
        <v/>
      </c>
      <c r="N13" s="12" t="str">
        <f>IF($G13="","",IFERROR(VLOOKUP($C13,测评与作品明细!$C$4:$Y$56,16,FALSE),""))</f>
        <v/>
      </c>
      <c r="O13" s="11"/>
    </row>
    <row r="14" spans="1:15" ht="30" customHeight="1" x14ac:dyDescent="0.15">
      <c r="A14" s="10" t="str">
        <f t="shared" si="0"/>
        <v/>
      </c>
      <c r="B14" s="10"/>
      <c r="C14" s="10"/>
      <c r="D14" s="10"/>
      <c r="E14" s="10"/>
      <c r="F14" s="10"/>
      <c r="G14" s="10"/>
      <c r="H14" s="10"/>
      <c r="I14" s="10"/>
      <c r="J14" s="10"/>
      <c r="K14" s="11"/>
      <c r="L14" s="11"/>
      <c r="M14" s="12" t="str">
        <f>IF($G14="","",IFERROR(VLOOKUP($C14,测评与作品明细!$C$4:$Y$56,15,FALSE),""))</f>
        <v/>
      </c>
      <c r="N14" s="12" t="str">
        <f>IF($G14="","",IFERROR(VLOOKUP($C14,测评与作品明细!$C$4:$Y$56,16,FALSE),""))</f>
        <v/>
      </c>
      <c r="O14" s="11"/>
    </row>
    <row r="15" spans="1:15" ht="30" customHeight="1" x14ac:dyDescent="0.15">
      <c r="A15" s="10" t="str">
        <f t="shared" si="0"/>
        <v/>
      </c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11"/>
      <c r="M15" s="12" t="str">
        <f>IF($G15="","",IFERROR(VLOOKUP($C15,测评与作品明细!$C$4:$Y$56,15,FALSE),""))</f>
        <v/>
      </c>
      <c r="N15" s="12" t="str">
        <f>IF($G15="","",IFERROR(VLOOKUP($C15,测评与作品明细!$C$4:$Y$56,16,FALSE),""))</f>
        <v/>
      </c>
      <c r="O15" s="11"/>
    </row>
    <row r="16" spans="1:15" ht="30" customHeight="1" x14ac:dyDescent="0.15">
      <c r="A16" s="10" t="str">
        <f t="shared" si="0"/>
        <v/>
      </c>
      <c r="B16" s="10"/>
      <c r="C16" s="10"/>
      <c r="D16" s="10"/>
      <c r="E16" s="10"/>
      <c r="F16" s="10"/>
      <c r="G16" s="10"/>
      <c r="H16" s="10"/>
      <c r="I16" s="10"/>
      <c r="J16" s="10"/>
      <c r="K16" s="11"/>
      <c r="L16" s="11"/>
      <c r="M16" s="12" t="str">
        <f>IF($G16="","",IFERROR(VLOOKUP($C16,测评与作品明细!$C$4:$Y$56,15,FALSE),""))</f>
        <v/>
      </c>
      <c r="N16" s="12" t="str">
        <f>IF($G16="","",IFERROR(VLOOKUP($C16,测评与作品明细!$C$4:$Y$56,16,FALSE),""))</f>
        <v/>
      </c>
      <c r="O16" s="11"/>
    </row>
    <row r="17" spans="1:15" ht="30" customHeight="1" x14ac:dyDescent="0.15">
      <c r="A17" s="10" t="str">
        <f t="shared" si="0"/>
        <v/>
      </c>
      <c r="B17" s="10"/>
      <c r="C17" s="10"/>
      <c r="D17" s="10"/>
      <c r="E17" s="10"/>
      <c r="F17" s="10"/>
      <c r="G17" s="10"/>
      <c r="H17" s="10"/>
      <c r="I17" s="10"/>
      <c r="J17" s="10"/>
      <c r="K17" s="11"/>
      <c r="L17" s="11"/>
      <c r="M17" s="12" t="str">
        <f>IF($G17="","",IFERROR(VLOOKUP($C17,测评与作品明细!$C$4:$Y$56,15,FALSE),""))</f>
        <v/>
      </c>
      <c r="N17" s="12" t="str">
        <f>IF($G17="","",IFERROR(VLOOKUP($C17,测评与作品明细!$C$4:$Y$56,16,FALSE),""))</f>
        <v/>
      </c>
      <c r="O17" s="11"/>
    </row>
    <row r="18" spans="1:15" ht="30" customHeight="1" x14ac:dyDescent="0.15">
      <c r="A18" s="10" t="str">
        <f t="shared" si="0"/>
        <v/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1"/>
      <c r="M18" s="12" t="str">
        <f>IF($G18="","",IFERROR(VLOOKUP($C18,测评与作品明细!$C$4:$Y$56,15,FALSE),""))</f>
        <v/>
      </c>
      <c r="N18" s="12" t="str">
        <f>IF($G18="","",IFERROR(VLOOKUP($C18,测评与作品明细!$C$4:$Y$56,16,FALSE),""))</f>
        <v/>
      </c>
      <c r="O18" s="11"/>
    </row>
    <row r="19" spans="1:15" ht="30" customHeight="1" x14ac:dyDescent="0.15">
      <c r="A19" s="10" t="str">
        <f t="shared" si="0"/>
        <v/>
      </c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1"/>
      <c r="M19" s="12" t="str">
        <f>IF($G19="","",IFERROR(VLOOKUP($C19,测评与作品明细!$C$4:$Y$56,15,FALSE),""))</f>
        <v/>
      </c>
      <c r="N19" s="12" t="str">
        <f>IF($G19="","",IFERROR(VLOOKUP($C19,测评与作品明细!$C$4:$Y$56,16,FALSE),""))</f>
        <v/>
      </c>
      <c r="O19" s="11"/>
    </row>
    <row r="20" spans="1:15" ht="30" customHeight="1" x14ac:dyDescent="0.15">
      <c r="A20" s="10" t="str">
        <f t="shared" si="0"/>
        <v/>
      </c>
      <c r="B20" s="10"/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2" t="str">
        <f>IF($G20="","",IFERROR(VLOOKUP($C20,测评与作品明细!$C$4:$Y$56,15,FALSE),""))</f>
        <v/>
      </c>
      <c r="N20" s="12" t="str">
        <f>IF($G20="","",IFERROR(VLOOKUP($C20,测评与作品明细!$C$4:$Y$56,16,FALSE),""))</f>
        <v/>
      </c>
      <c r="O20" s="11"/>
    </row>
    <row r="21" spans="1:15" ht="30" customHeight="1" x14ac:dyDescent="0.15">
      <c r="A21" s="10" t="str">
        <f t="shared" si="0"/>
        <v/>
      </c>
      <c r="B21" s="10"/>
      <c r="C21" s="10"/>
      <c r="D21" s="10"/>
      <c r="E21" s="10"/>
      <c r="F21" s="10"/>
      <c r="G21" s="10"/>
      <c r="H21" s="10"/>
      <c r="I21" s="10"/>
      <c r="J21" s="10"/>
      <c r="K21" s="11"/>
      <c r="L21" s="11"/>
      <c r="M21" s="12" t="str">
        <f>IF($G21="","",IFERROR(VLOOKUP($C21,测评与作品明细!$C$4:$Y$56,15,FALSE),""))</f>
        <v/>
      </c>
      <c r="N21" s="12" t="str">
        <f>IF($G21="","",IFERROR(VLOOKUP($C21,测评与作品明细!$C$4:$Y$56,16,FALSE),""))</f>
        <v/>
      </c>
      <c r="O21" s="11"/>
    </row>
    <row r="22" spans="1:15" ht="30" customHeight="1" x14ac:dyDescent="0.15">
      <c r="A22" s="10" t="str">
        <f t="shared" si="0"/>
        <v/>
      </c>
      <c r="B22" s="10"/>
      <c r="C22" s="10"/>
      <c r="D22" s="10"/>
      <c r="E22" s="10"/>
      <c r="F22" s="10"/>
      <c r="G22" s="10"/>
      <c r="H22" s="10"/>
      <c r="I22" s="10"/>
      <c r="J22" s="10"/>
      <c r="K22" s="11"/>
      <c r="L22" s="11"/>
      <c r="M22" s="12" t="str">
        <f>IF($G22="","",IFERROR(VLOOKUP($C22,测评与作品明细!$C$4:$Y$56,15,FALSE),""))</f>
        <v/>
      </c>
      <c r="N22" s="12" t="str">
        <f>IF($G22="","",IFERROR(VLOOKUP($C22,测评与作品明细!$C$4:$Y$56,16,FALSE),""))</f>
        <v/>
      </c>
      <c r="O22" s="11"/>
    </row>
    <row r="23" spans="1:15" ht="30" customHeight="1" x14ac:dyDescent="0.15">
      <c r="A23" s="10" t="str">
        <f t="shared" si="0"/>
        <v/>
      </c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1"/>
      <c r="M23" s="12" t="str">
        <f>IF($G23="","",IFERROR(VLOOKUP($C23,测评与作品明细!$C$4:$Y$56,15,FALSE),""))</f>
        <v/>
      </c>
      <c r="N23" s="12" t="str">
        <f>IF($G23="","",IFERROR(VLOOKUP($C23,测评与作品明细!$C$4:$Y$56,16,FALSE),""))</f>
        <v/>
      </c>
      <c r="O23" s="11"/>
    </row>
    <row r="24" spans="1:15" ht="30" customHeight="1" x14ac:dyDescent="0.15">
      <c r="A24" s="10" t="str">
        <f t="shared" si="0"/>
        <v/>
      </c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1"/>
      <c r="M24" s="12" t="str">
        <f>IF($G24="","",IFERROR(VLOOKUP($C24,测评与作品明细!$C$4:$Y$56,15,FALSE),""))</f>
        <v/>
      </c>
      <c r="N24" s="12" t="str">
        <f>IF($G24="","",IFERROR(VLOOKUP($C24,测评与作品明细!$C$4:$Y$56,16,FALSE),""))</f>
        <v/>
      </c>
      <c r="O24" s="11"/>
    </row>
    <row r="25" spans="1:15" ht="30" customHeight="1" x14ac:dyDescent="0.15">
      <c r="A25" s="10" t="str">
        <f t="shared" si="0"/>
        <v/>
      </c>
      <c r="B25" s="10"/>
      <c r="C25" s="10"/>
      <c r="D25" s="10"/>
      <c r="E25" s="10"/>
      <c r="F25" s="10"/>
      <c r="G25" s="10"/>
      <c r="H25" s="10"/>
      <c r="I25" s="10"/>
      <c r="J25" s="10"/>
      <c r="K25" s="11"/>
      <c r="L25" s="11"/>
      <c r="M25" s="12" t="str">
        <f>IF($G25="","",IFERROR(VLOOKUP($C25,测评与作品明细!$C$4:$Y$56,15,FALSE),""))</f>
        <v/>
      </c>
      <c r="N25" s="12" t="str">
        <f>IF($G25="","",IFERROR(VLOOKUP($C25,测评与作品明细!$C$4:$Y$56,16,FALSE),""))</f>
        <v/>
      </c>
      <c r="O25" s="11"/>
    </row>
    <row r="26" spans="1:15" ht="30" customHeight="1" x14ac:dyDescent="0.15">
      <c r="A26" s="10" t="str">
        <f t="shared" si="0"/>
        <v/>
      </c>
      <c r="B26" s="10"/>
      <c r="C26" s="10"/>
      <c r="D26" s="10"/>
      <c r="E26" s="10"/>
      <c r="F26" s="10"/>
      <c r="G26" s="10"/>
      <c r="H26" s="10"/>
      <c r="I26" s="10"/>
      <c r="J26" s="10"/>
      <c r="K26" s="11"/>
      <c r="L26" s="11"/>
      <c r="M26" s="12" t="str">
        <f>IF($G26="","",IFERROR(VLOOKUP($C26,测评与作品明细!$C$4:$Y$56,15,FALSE),""))</f>
        <v/>
      </c>
      <c r="N26" s="12" t="str">
        <f>IF($G26="","",IFERROR(VLOOKUP($C26,测评与作品明细!$C$4:$Y$56,16,FALSE),""))</f>
        <v/>
      </c>
      <c r="O26" s="11"/>
    </row>
    <row r="27" spans="1:15" ht="30" customHeight="1" x14ac:dyDescent="0.15">
      <c r="A27" s="10" t="str">
        <f t="shared" si="0"/>
        <v/>
      </c>
      <c r="B27" s="10"/>
      <c r="C27" s="10"/>
      <c r="D27" s="10"/>
      <c r="E27" s="10"/>
      <c r="F27" s="10"/>
      <c r="G27" s="10"/>
      <c r="H27" s="10"/>
      <c r="I27" s="10"/>
      <c r="J27" s="10"/>
      <c r="K27" s="11"/>
      <c r="L27" s="11"/>
      <c r="M27" s="12" t="str">
        <f>IF($G27="","",IFERROR(VLOOKUP($C27,测评与作品明细!$C$4:$Y$56,15,FALSE),""))</f>
        <v/>
      </c>
      <c r="N27" s="12" t="str">
        <f>IF($G27="","",IFERROR(VLOOKUP($C27,测评与作品明细!$C$4:$Y$56,16,FALSE),""))</f>
        <v/>
      </c>
      <c r="O27" s="11"/>
    </row>
    <row r="28" spans="1:15" ht="30" customHeight="1" x14ac:dyDescent="0.15">
      <c r="A28" s="10" t="str">
        <f t="shared" si="0"/>
        <v/>
      </c>
      <c r="B28" s="10"/>
      <c r="C28" s="10"/>
      <c r="D28" s="10"/>
      <c r="E28" s="10"/>
      <c r="F28" s="10"/>
      <c r="G28" s="10"/>
      <c r="H28" s="10"/>
      <c r="I28" s="10"/>
      <c r="J28" s="10"/>
      <c r="K28" s="11"/>
      <c r="L28" s="11"/>
      <c r="M28" s="12" t="str">
        <f>IF($G28="","",IFERROR(VLOOKUP($C28,测评与作品明细!$C$4:$Y$56,15,FALSE),""))</f>
        <v/>
      </c>
      <c r="N28" s="12" t="str">
        <f>IF($G28="","",IFERROR(VLOOKUP($C28,测评与作品明细!$C$4:$Y$56,16,FALSE),""))</f>
        <v/>
      </c>
      <c r="O28" s="11"/>
    </row>
    <row r="29" spans="1:15" ht="30" customHeight="1" x14ac:dyDescent="0.15">
      <c r="A29" s="10" t="str">
        <f t="shared" si="0"/>
        <v/>
      </c>
      <c r="B29" s="10"/>
      <c r="C29" s="10"/>
      <c r="D29" s="10"/>
      <c r="E29" s="10"/>
      <c r="F29" s="10"/>
      <c r="G29" s="10"/>
      <c r="H29" s="10"/>
      <c r="I29" s="10"/>
      <c r="J29" s="10"/>
      <c r="K29" s="11"/>
      <c r="L29" s="11"/>
      <c r="M29" s="12" t="str">
        <f>IF($G29="","",IFERROR(VLOOKUP($C29,测评与作品明细!$C$4:$Y$56,15,FALSE),""))</f>
        <v/>
      </c>
      <c r="N29" s="12" t="str">
        <f>IF($G29="","",IFERROR(VLOOKUP($C29,测评与作品明细!$C$4:$Y$56,16,FALSE),""))</f>
        <v/>
      </c>
      <c r="O29" s="11"/>
    </row>
    <row r="30" spans="1:15" ht="30" customHeight="1" x14ac:dyDescent="0.15">
      <c r="A30" s="10" t="str">
        <f t="shared" si="0"/>
        <v/>
      </c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1"/>
      <c r="M30" s="12" t="str">
        <f>IF($G30="","",IFERROR(VLOOKUP($C30,测评与作品明细!$C$4:$Y$56,15,FALSE),""))</f>
        <v/>
      </c>
      <c r="N30" s="12" t="str">
        <f>IF($G30="","",IFERROR(VLOOKUP($C30,测评与作品明细!$C$4:$Y$56,16,FALSE),""))</f>
        <v/>
      </c>
      <c r="O30" s="11"/>
    </row>
    <row r="31" spans="1:15" ht="30" customHeight="1" x14ac:dyDescent="0.15">
      <c r="A31" s="10" t="str">
        <f t="shared" si="0"/>
        <v/>
      </c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1"/>
      <c r="M31" s="12" t="str">
        <f>IF($G31="","",IFERROR(VLOOKUP($C31,测评与作品明细!$C$4:$Y$56,15,FALSE),""))</f>
        <v/>
      </c>
      <c r="N31" s="12" t="str">
        <f>IF($G31="","",IFERROR(VLOOKUP($C31,测评与作品明细!$C$4:$Y$56,16,FALSE),""))</f>
        <v/>
      </c>
      <c r="O31" s="11"/>
    </row>
    <row r="32" spans="1:15" ht="30" customHeight="1" x14ac:dyDescent="0.15">
      <c r="A32" s="10" t="str">
        <f t="shared" si="0"/>
        <v/>
      </c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1"/>
      <c r="M32" s="12" t="str">
        <f>IF($G32="","",IFERROR(VLOOKUP($C32,测评与作品明细!$C$4:$Y$56,15,FALSE),""))</f>
        <v/>
      </c>
      <c r="N32" s="12" t="str">
        <f>IF($G32="","",IFERROR(VLOOKUP($C32,测评与作品明细!$C$4:$Y$56,16,FALSE),""))</f>
        <v/>
      </c>
      <c r="O32" s="11"/>
    </row>
    <row r="33" spans="1:15" ht="30" customHeight="1" x14ac:dyDescent="0.15">
      <c r="A33" s="10" t="str">
        <f t="shared" si="0"/>
        <v/>
      </c>
      <c r="B33" s="10"/>
      <c r="C33" s="10"/>
      <c r="D33" s="10"/>
      <c r="E33" s="10"/>
      <c r="F33" s="10"/>
      <c r="G33" s="10"/>
      <c r="H33" s="10"/>
      <c r="I33" s="10"/>
      <c r="J33" s="10"/>
      <c r="K33" s="11"/>
      <c r="L33" s="11"/>
      <c r="M33" s="12" t="str">
        <f>IF($G33="","",IFERROR(VLOOKUP($C33,测评与作品明细!$C$4:$Y$56,15,FALSE),""))</f>
        <v/>
      </c>
      <c r="N33" s="12" t="str">
        <f>IF($G33="","",IFERROR(VLOOKUP($C33,测评与作品明细!$C$4:$Y$56,16,FALSE),""))</f>
        <v/>
      </c>
      <c r="O33" s="11"/>
    </row>
    <row r="34" spans="1:15" ht="30" customHeight="1" x14ac:dyDescent="0.15">
      <c r="A34" s="10" t="str">
        <f t="shared" si="0"/>
        <v/>
      </c>
      <c r="B34" s="10"/>
      <c r="C34" s="10"/>
      <c r="D34" s="10"/>
      <c r="E34" s="10"/>
      <c r="F34" s="10"/>
      <c r="G34" s="10"/>
      <c r="H34" s="10"/>
      <c r="I34" s="10"/>
      <c r="J34" s="10"/>
      <c r="K34" s="11"/>
      <c r="L34" s="11"/>
      <c r="M34" s="12" t="str">
        <f>IF($G34="","",IFERROR(VLOOKUP($C34,测评与作品明细!$C$4:$Y$56,15,FALSE),""))</f>
        <v/>
      </c>
      <c r="N34" s="12" t="str">
        <f>IF($G34="","",IFERROR(VLOOKUP($C34,测评与作品明细!$C$4:$Y$56,16,FALSE),""))</f>
        <v/>
      </c>
      <c r="O34" s="11"/>
    </row>
    <row r="35" spans="1:15" ht="30" customHeight="1" x14ac:dyDescent="0.15">
      <c r="A35" s="10" t="str">
        <f t="shared" si="0"/>
        <v/>
      </c>
      <c r="B35" s="10"/>
      <c r="C35" s="10"/>
      <c r="D35" s="10"/>
      <c r="E35" s="10"/>
      <c r="F35" s="10"/>
      <c r="G35" s="10"/>
      <c r="H35" s="10"/>
      <c r="I35" s="10"/>
      <c r="J35" s="10"/>
      <c r="K35" s="11"/>
      <c r="L35" s="11"/>
      <c r="M35" s="12" t="str">
        <f>IF($G35="","",IFERROR(VLOOKUP($C35,测评与作品明细!$C$4:$Y$56,15,FALSE),""))</f>
        <v/>
      </c>
      <c r="N35" s="12" t="str">
        <f>IF($G35="","",IFERROR(VLOOKUP($C35,测评与作品明细!$C$4:$Y$56,16,FALSE),""))</f>
        <v/>
      </c>
      <c r="O35" s="11"/>
    </row>
    <row r="36" spans="1:15" ht="30" customHeight="1" x14ac:dyDescent="0.15">
      <c r="A36" s="10" t="str">
        <f t="shared" ref="A36:A56" si="1">IF($G36="","",ROW()-3)</f>
        <v/>
      </c>
      <c r="B36" s="10"/>
      <c r="C36" s="10"/>
      <c r="D36" s="10"/>
      <c r="E36" s="10"/>
      <c r="F36" s="10"/>
      <c r="G36" s="10"/>
      <c r="H36" s="10"/>
      <c r="I36" s="10"/>
      <c r="J36" s="10"/>
      <c r="K36" s="11"/>
      <c r="L36" s="11"/>
      <c r="M36" s="12" t="str">
        <f>IF($G36="","",IFERROR(VLOOKUP($C36,测评与作品明细!$C$4:$Y$56,15,FALSE),""))</f>
        <v/>
      </c>
      <c r="N36" s="12" t="str">
        <f>IF($G36="","",IFERROR(VLOOKUP($C36,测评与作品明细!$C$4:$Y$56,16,FALSE),""))</f>
        <v/>
      </c>
      <c r="O36" s="11"/>
    </row>
    <row r="37" spans="1:15" ht="30" customHeight="1" x14ac:dyDescent="0.15">
      <c r="A37" s="10" t="str">
        <f t="shared" si="1"/>
        <v/>
      </c>
      <c r="B37" s="10"/>
      <c r="C37" s="10"/>
      <c r="D37" s="10"/>
      <c r="E37" s="10"/>
      <c r="F37" s="10"/>
      <c r="G37" s="10"/>
      <c r="H37" s="10"/>
      <c r="I37" s="10"/>
      <c r="J37" s="10"/>
      <c r="K37" s="11"/>
      <c r="L37" s="11"/>
      <c r="M37" s="12" t="str">
        <f>IF($G37="","",IFERROR(VLOOKUP($C37,测评与作品明细!$C$4:$Y$56,15,FALSE),""))</f>
        <v/>
      </c>
      <c r="N37" s="12" t="str">
        <f>IF($G37="","",IFERROR(VLOOKUP($C37,测评与作品明细!$C$4:$Y$56,16,FALSE),""))</f>
        <v/>
      </c>
      <c r="O37" s="11"/>
    </row>
    <row r="38" spans="1:15" ht="30" customHeight="1" x14ac:dyDescent="0.15">
      <c r="A38" s="10" t="str">
        <f t="shared" si="1"/>
        <v/>
      </c>
      <c r="B38" s="10"/>
      <c r="C38" s="10"/>
      <c r="D38" s="10"/>
      <c r="E38" s="10"/>
      <c r="F38" s="10"/>
      <c r="G38" s="10"/>
      <c r="H38" s="10"/>
      <c r="I38" s="10"/>
      <c r="J38" s="10"/>
      <c r="K38" s="11"/>
      <c r="L38" s="11"/>
      <c r="M38" s="12" t="str">
        <f>IF($G38="","",IFERROR(VLOOKUP($C38,测评与作品明细!$C$4:$Y$56,15,FALSE),""))</f>
        <v/>
      </c>
      <c r="N38" s="12" t="str">
        <f>IF($G38="","",IFERROR(VLOOKUP($C38,测评与作品明细!$C$4:$Y$56,16,FALSE),""))</f>
        <v/>
      </c>
      <c r="O38" s="11"/>
    </row>
    <row r="39" spans="1:15" ht="30" customHeight="1" x14ac:dyDescent="0.15">
      <c r="A39" s="10" t="str">
        <f t="shared" si="1"/>
        <v/>
      </c>
      <c r="B39" s="10"/>
      <c r="C39" s="10"/>
      <c r="D39" s="10"/>
      <c r="E39" s="10"/>
      <c r="F39" s="10"/>
      <c r="G39" s="10"/>
      <c r="H39" s="10"/>
      <c r="I39" s="10"/>
      <c r="J39" s="10"/>
      <c r="K39" s="11"/>
      <c r="L39" s="11"/>
      <c r="M39" s="12" t="str">
        <f>IF($G39="","",IFERROR(VLOOKUP($C39,测评与作品明细!$C$4:$Y$56,15,FALSE),""))</f>
        <v/>
      </c>
      <c r="N39" s="12" t="str">
        <f>IF($G39="","",IFERROR(VLOOKUP($C39,测评与作品明细!$C$4:$Y$56,16,FALSE),""))</f>
        <v/>
      </c>
      <c r="O39" s="11"/>
    </row>
    <row r="40" spans="1:15" ht="30" customHeight="1" x14ac:dyDescent="0.15">
      <c r="A40" s="10" t="str">
        <f t="shared" si="1"/>
        <v/>
      </c>
      <c r="B40" s="10"/>
      <c r="C40" s="10"/>
      <c r="D40" s="10"/>
      <c r="E40" s="10"/>
      <c r="F40" s="10"/>
      <c r="G40" s="10"/>
      <c r="H40" s="10"/>
      <c r="I40" s="10"/>
      <c r="J40" s="10"/>
      <c r="K40" s="11"/>
      <c r="L40" s="11"/>
      <c r="M40" s="12" t="str">
        <f>IF($G40="","",IFERROR(VLOOKUP($C40,测评与作品明细!$C$4:$Y$56,15,FALSE),""))</f>
        <v/>
      </c>
      <c r="N40" s="12" t="str">
        <f>IF($G40="","",IFERROR(VLOOKUP($C40,测评与作品明细!$C$4:$Y$56,16,FALSE),""))</f>
        <v/>
      </c>
      <c r="O40" s="11"/>
    </row>
    <row r="41" spans="1:15" ht="30" customHeight="1" x14ac:dyDescent="0.15">
      <c r="A41" s="10" t="str">
        <f t="shared" si="1"/>
        <v/>
      </c>
      <c r="B41" s="10"/>
      <c r="C41" s="10"/>
      <c r="D41" s="10"/>
      <c r="E41" s="10"/>
      <c r="F41" s="10"/>
      <c r="G41" s="10"/>
      <c r="H41" s="10"/>
      <c r="I41" s="10"/>
      <c r="J41" s="10"/>
      <c r="K41" s="11"/>
      <c r="L41" s="11"/>
      <c r="M41" s="12" t="str">
        <f>IF($G41="","",IFERROR(VLOOKUP($C41,测评与作品明细!$C$4:$Y$56,15,FALSE),""))</f>
        <v/>
      </c>
      <c r="N41" s="12" t="str">
        <f>IF($G41="","",IFERROR(VLOOKUP($C41,测评与作品明细!$C$4:$Y$56,16,FALSE),""))</f>
        <v/>
      </c>
      <c r="O41" s="11"/>
    </row>
    <row r="42" spans="1:15" ht="30" customHeight="1" x14ac:dyDescent="0.15">
      <c r="A42" s="10" t="str">
        <f t="shared" si="1"/>
        <v/>
      </c>
      <c r="B42" s="10"/>
      <c r="C42" s="10"/>
      <c r="D42" s="10"/>
      <c r="E42" s="10"/>
      <c r="F42" s="10"/>
      <c r="G42" s="10"/>
      <c r="H42" s="10"/>
      <c r="I42" s="10"/>
      <c r="J42" s="10"/>
      <c r="K42" s="11"/>
      <c r="L42" s="11"/>
      <c r="M42" s="12" t="str">
        <f>IF($G42="","",IFERROR(VLOOKUP($C42,测评与作品明细!$C$4:$Y$56,15,FALSE),""))</f>
        <v/>
      </c>
      <c r="N42" s="12" t="str">
        <f>IF($G42="","",IFERROR(VLOOKUP($C42,测评与作品明细!$C$4:$Y$56,16,FALSE),""))</f>
        <v/>
      </c>
      <c r="O42" s="11"/>
    </row>
    <row r="43" spans="1:15" ht="30" customHeight="1" x14ac:dyDescent="0.15">
      <c r="A43" s="10" t="str">
        <f t="shared" si="1"/>
        <v/>
      </c>
      <c r="B43" s="10"/>
      <c r="C43" s="10"/>
      <c r="D43" s="10"/>
      <c r="E43" s="10"/>
      <c r="F43" s="10"/>
      <c r="G43" s="10"/>
      <c r="H43" s="10"/>
      <c r="I43" s="10"/>
      <c r="J43" s="10"/>
      <c r="K43" s="11"/>
      <c r="L43" s="11"/>
      <c r="M43" s="12" t="str">
        <f>IF($G43="","",IFERROR(VLOOKUP($C43,测评与作品明细!$C$4:$Y$56,15,FALSE),""))</f>
        <v/>
      </c>
      <c r="N43" s="12" t="str">
        <f>IF($G43="","",IFERROR(VLOOKUP($C43,测评与作品明细!$C$4:$Y$56,16,FALSE),""))</f>
        <v/>
      </c>
      <c r="O43" s="11"/>
    </row>
    <row r="44" spans="1:15" ht="30" customHeight="1" x14ac:dyDescent="0.15">
      <c r="A44" s="10" t="str">
        <f t="shared" si="1"/>
        <v/>
      </c>
      <c r="B44" s="10"/>
      <c r="C44" s="10"/>
      <c r="D44" s="10"/>
      <c r="E44" s="10"/>
      <c r="F44" s="10"/>
      <c r="G44" s="10"/>
      <c r="H44" s="10"/>
      <c r="I44" s="10"/>
      <c r="J44" s="10"/>
      <c r="K44" s="11"/>
      <c r="L44" s="11"/>
      <c r="M44" s="12" t="str">
        <f>IF($G44="","",IFERROR(VLOOKUP($C44,测评与作品明细!$C$4:$Y$56,15,FALSE),""))</f>
        <v/>
      </c>
      <c r="N44" s="12" t="str">
        <f>IF($G44="","",IFERROR(VLOOKUP($C44,测评与作品明细!$C$4:$Y$56,16,FALSE),""))</f>
        <v/>
      </c>
      <c r="O44" s="11"/>
    </row>
    <row r="45" spans="1:15" ht="30" customHeight="1" x14ac:dyDescent="0.15">
      <c r="A45" s="10" t="str">
        <f t="shared" si="1"/>
        <v/>
      </c>
      <c r="B45" s="10"/>
      <c r="C45" s="10"/>
      <c r="D45" s="10"/>
      <c r="E45" s="10"/>
      <c r="F45" s="10"/>
      <c r="G45" s="10"/>
      <c r="H45" s="10"/>
      <c r="I45" s="10"/>
      <c r="J45" s="10"/>
      <c r="K45" s="11"/>
      <c r="L45" s="11"/>
      <c r="M45" s="12" t="str">
        <f>IF($G45="","",IFERROR(VLOOKUP($C45,测评与作品明细!$C$4:$Y$56,15,FALSE),""))</f>
        <v/>
      </c>
      <c r="N45" s="12" t="str">
        <f>IF($G45="","",IFERROR(VLOOKUP($C45,测评与作品明细!$C$4:$Y$56,16,FALSE),""))</f>
        <v/>
      </c>
      <c r="O45" s="11"/>
    </row>
    <row r="46" spans="1:15" ht="30" customHeight="1" x14ac:dyDescent="0.15">
      <c r="A46" s="10" t="str">
        <f t="shared" si="1"/>
        <v/>
      </c>
      <c r="B46" s="10"/>
      <c r="C46" s="10"/>
      <c r="D46" s="10"/>
      <c r="E46" s="10"/>
      <c r="F46" s="10"/>
      <c r="G46" s="10"/>
      <c r="H46" s="10"/>
      <c r="I46" s="10"/>
      <c r="J46" s="10"/>
      <c r="K46" s="11"/>
      <c r="L46" s="11"/>
      <c r="M46" s="12" t="str">
        <f>IF($G46="","",IFERROR(VLOOKUP($C46,测评与作品明细!$C$4:$Y$56,15,FALSE),""))</f>
        <v/>
      </c>
      <c r="N46" s="12" t="str">
        <f>IF($G46="","",IFERROR(VLOOKUP($C46,测评与作品明细!$C$4:$Y$56,16,FALSE),""))</f>
        <v/>
      </c>
      <c r="O46" s="11"/>
    </row>
    <row r="47" spans="1:15" ht="30" customHeight="1" x14ac:dyDescent="0.15">
      <c r="A47" s="10" t="str">
        <f t="shared" si="1"/>
        <v/>
      </c>
      <c r="B47" s="10"/>
      <c r="C47" s="10"/>
      <c r="D47" s="10"/>
      <c r="E47" s="10"/>
      <c r="F47" s="10"/>
      <c r="G47" s="10"/>
      <c r="H47" s="10"/>
      <c r="I47" s="10"/>
      <c r="J47" s="10"/>
      <c r="K47" s="11"/>
      <c r="L47" s="11"/>
      <c r="M47" s="12" t="str">
        <f>IF($G47="","",IFERROR(VLOOKUP($C47,测评与作品明细!$C$4:$Y$56,15,FALSE),""))</f>
        <v/>
      </c>
      <c r="N47" s="12" t="str">
        <f>IF($G47="","",IFERROR(VLOOKUP($C47,测评与作品明细!$C$4:$Y$56,16,FALSE),""))</f>
        <v/>
      </c>
      <c r="O47" s="11"/>
    </row>
    <row r="48" spans="1:15" ht="30" customHeight="1" x14ac:dyDescent="0.15">
      <c r="A48" s="10" t="str">
        <f t="shared" si="1"/>
        <v/>
      </c>
      <c r="B48" s="10"/>
      <c r="C48" s="10"/>
      <c r="D48" s="10"/>
      <c r="E48" s="10"/>
      <c r="F48" s="10"/>
      <c r="G48" s="10"/>
      <c r="H48" s="10"/>
      <c r="I48" s="10"/>
      <c r="J48" s="10"/>
      <c r="K48" s="11"/>
      <c r="L48" s="11"/>
      <c r="M48" s="12" t="str">
        <f>IF($G48="","",IFERROR(VLOOKUP($C48,测评与作品明细!$C$4:$Y$56,15,FALSE),""))</f>
        <v/>
      </c>
      <c r="N48" s="12" t="str">
        <f>IF($G48="","",IFERROR(VLOOKUP($C48,测评与作品明细!$C$4:$Y$56,16,FALSE),""))</f>
        <v/>
      </c>
      <c r="O48" s="11"/>
    </row>
    <row r="49" spans="1:15" ht="30" customHeight="1" x14ac:dyDescent="0.15">
      <c r="A49" s="10" t="str">
        <f t="shared" si="1"/>
        <v/>
      </c>
      <c r="B49" s="10"/>
      <c r="C49" s="10"/>
      <c r="D49" s="10"/>
      <c r="E49" s="10"/>
      <c r="F49" s="10"/>
      <c r="G49" s="10"/>
      <c r="H49" s="10"/>
      <c r="I49" s="10"/>
      <c r="J49" s="10"/>
      <c r="K49" s="11"/>
      <c r="L49" s="11"/>
      <c r="M49" s="12" t="str">
        <f>IF($G49="","",IFERROR(VLOOKUP($C49,测评与作品明细!$C$4:$Y$56,15,FALSE),""))</f>
        <v/>
      </c>
      <c r="N49" s="12" t="str">
        <f>IF($G49="","",IFERROR(VLOOKUP($C49,测评与作品明细!$C$4:$Y$56,16,FALSE),""))</f>
        <v/>
      </c>
      <c r="O49" s="11"/>
    </row>
    <row r="50" spans="1:15" ht="30" customHeight="1" x14ac:dyDescent="0.15">
      <c r="A50" s="10" t="str">
        <f t="shared" si="1"/>
        <v/>
      </c>
      <c r="B50" s="10"/>
      <c r="C50" s="10"/>
      <c r="D50" s="10"/>
      <c r="E50" s="10"/>
      <c r="F50" s="10"/>
      <c r="G50" s="10"/>
      <c r="H50" s="10"/>
      <c r="I50" s="10"/>
      <c r="J50" s="10"/>
      <c r="K50" s="11"/>
      <c r="L50" s="11"/>
      <c r="M50" s="12" t="str">
        <f>IF($G50="","",IFERROR(VLOOKUP($C50,测评与作品明细!$C$4:$Y$56,15,FALSE),""))</f>
        <v/>
      </c>
      <c r="N50" s="12" t="str">
        <f>IF($G50="","",IFERROR(VLOOKUP($C50,测评与作品明细!$C$4:$Y$56,16,FALSE),""))</f>
        <v/>
      </c>
      <c r="O50" s="11"/>
    </row>
    <row r="51" spans="1:15" ht="30" customHeight="1" x14ac:dyDescent="0.15">
      <c r="A51" s="10" t="str">
        <f t="shared" si="1"/>
        <v/>
      </c>
      <c r="B51" s="10"/>
      <c r="C51" s="10"/>
      <c r="D51" s="10"/>
      <c r="E51" s="10"/>
      <c r="F51" s="10"/>
      <c r="G51" s="10"/>
      <c r="H51" s="10"/>
      <c r="I51" s="10"/>
      <c r="J51" s="10"/>
      <c r="K51" s="11"/>
      <c r="L51" s="11"/>
      <c r="M51" s="12" t="str">
        <f>IF($G51="","",IFERROR(VLOOKUP($C51,测评与作品明细!$C$4:$Y$56,15,FALSE),""))</f>
        <v/>
      </c>
      <c r="N51" s="12" t="str">
        <f>IF($G51="","",IFERROR(VLOOKUP($C51,测评与作品明细!$C$4:$Y$56,16,FALSE),""))</f>
        <v/>
      </c>
      <c r="O51" s="11"/>
    </row>
    <row r="52" spans="1:15" ht="30" customHeight="1" x14ac:dyDescent="0.15">
      <c r="A52" s="10" t="str">
        <f t="shared" si="1"/>
        <v/>
      </c>
      <c r="B52" s="10"/>
      <c r="C52" s="10"/>
      <c r="D52" s="10"/>
      <c r="E52" s="10"/>
      <c r="F52" s="10"/>
      <c r="G52" s="10"/>
      <c r="H52" s="10"/>
      <c r="I52" s="10"/>
      <c r="J52" s="10"/>
      <c r="K52" s="11"/>
      <c r="L52" s="11"/>
      <c r="M52" s="12" t="str">
        <f>IF($G52="","",IFERROR(VLOOKUP($C52,测评与作品明细!$C$4:$Y$56,15,FALSE),""))</f>
        <v/>
      </c>
      <c r="N52" s="12" t="str">
        <f>IF($G52="","",IFERROR(VLOOKUP($C52,测评与作品明细!$C$4:$Y$56,16,FALSE),""))</f>
        <v/>
      </c>
      <c r="O52" s="11"/>
    </row>
    <row r="53" spans="1:15" ht="30" customHeight="1" x14ac:dyDescent="0.15">
      <c r="A53" s="10" t="str">
        <f t="shared" si="1"/>
        <v/>
      </c>
      <c r="B53" s="10"/>
      <c r="C53" s="10"/>
      <c r="D53" s="10"/>
      <c r="E53" s="10"/>
      <c r="F53" s="10"/>
      <c r="G53" s="10"/>
      <c r="H53" s="10"/>
      <c r="I53" s="10"/>
      <c r="J53" s="10"/>
      <c r="K53" s="11"/>
      <c r="L53" s="11"/>
      <c r="M53" s="12" t="str">
        <f>IF($G53="","",IFERROR(VLOOKUP($C53,测评与作品明细!$C$4:$Y$56,15,FALSE),""))</f>
        <v/>
      </c>
      <c r="N53" s="12" t="str">
        <f>IF($G53="","",IFERROR(VLOOKUP($C53,测评与作品明细!$C$4:$Y$56,16,FALSE),""))</f>
        <v/>
      </c>
      <c r="O53" s="11"/>
    </row>
    <row r="54" spans="1:15" ht="30" customHeight="1" x14ac:dyDescent="0.15">
      <c r="A54" s="10" t="str">
        <f t="shared" si="1"/>
        <v/>
      </c>
      <c r="B54" s="10"/>
      <c r="C54" s="10"/>
      <c r="D54" s="10"/>
      <c r="E54" s="10"/>
      <c r="F54" s="10"/>
      <c r="G54" s="10"/>
      <c r="H54" s="10"/>
      <c r="I54" s="10"/>
      <c r="J54" s="10"/>
      <c r="K54" s="11"/>
      <c r="L54" s="11"/>
      <c r="M54" s="12" t="str">
        <f>IF($G54="","",IFERROR(VLOOKUP($C54,测评与作品明细!$C$4:$Y$56,15,FALSE),""))</f>
        <v/>
      </c>
      <c r="N54" s="12" t="str">
        <f>IF($G54="","",IFERROR(VLOOKUP($C54,测评与作品明细!$C$4:$Y$56,16,FALSE),""))</f>
        <v/>
      </c>
      <c r="O54" s="11"/>
    </row>
    <row r="55" spans="1:15" ht="30" customHeight="1" x14ac:dyDescent="0.15">
      <c r="A55" s="10" t="str">
        <f t="shared" si="1"/>
        <v/>
      </c>
      <c r="B55" s="10"/>
      <c r="C55" s="10"/>
      <c r="D55" s="10"/>
      <c r="E55" s="10"/>
      <c r="F55" s="10"/>
      <c r="G55" s="10"/>
      <c r="H55" s="10"/>
      <c r="I55" s="10"/>
      <c r="J55" s="10"/>
      <c r="K55" s="11"/>
      <c r="L55" s="11"/>
      <c r="M55" s="12" t="str">
        <f>IF($G55="","",IFERROR(VLOOKUP($C55,测评与作品明细!$C$4:$Y$56,15,FALSE),""))</f>
        <v/>
      </c>
      <c r="N55" s="12" t="str">
        <f>IF($G55="","",IFERROR(VLOOKUP($C55,测评与作品明细!$C$4:$Y$56,16,FALSE),""))</f>
        <v/>
      </c>
      <c r="O55" s="11"/>
    </row>
    <row r="56" spans="1:15" ht="30" customHeight="1" x14ac:dyDescent="0.15">
      <c r="A56" s="10" t="str">
        <f t="shared" si="1"/>
        <v/>
      </c>
      <c r="B56" s="10"/>
      <c r="C56" s="10"/>
      <c r="D56" s="10"/>
      <c r="E56" s="10"/>
      <c r="F56" s="10"/>
      <c r="G56" s="10"/>
      <c r="H56" s="10"/>
      <c r="I56" s="10"/>
      <c r="J56" s="10"/>
      <c r="K56" s="11"/>
      <c r="L56" s="11"/>
      <c r="M56" s="12" t="str">
        <f>IF($G56="","",IFERROR(VLOOKUP($C56,测评与作品明细!$C$4:$Y$56,15,FALSE),""))</f>
        <v/>
      </c>
      <c r="N56" s="12" t="str">
        <f>IF($G56="","",IFERROR(VLOOKUP($C56,测评与作品明细!$C$4:$Y$56,16,FALSE),""))</f>
        <v/>
      </c>
      <c r="O56" s="11"/>
    </row>
  </sheetData>
  <autoFilter ref="A3:O56" xr:uid="{00000000-0009-0000-0000-000001000000}"/>
  <mergeCells count="5">
    <mergeCell ref="A2:F2"/>
    <mergeCell ref="G2:L2"/>
    <mergeCell ref="M2:N2"/>
    <mergeCell ref="A1:O1"/>
    <mergeCell ref="O2"/>
  </mergeCells>
  <phoneticPr fontId="14" type="noConversion"/>
  <conditionalFormatting sqref="M4:M56">
    <cfRule type="colorScale" priority="5">
      <colorScale>
        <cfvo type="num" val="60"/>
        <cfvo type="num" val="88"/>
        <cfvo type="num" val="112"/>
        <color rgb="FFF8D7DA"/>
        <color rgb="FFFFF3E0"/>
        <color rgb="FFFDF6E8"/>
      </colorScale>
    </cfRule>
  </conditionalFormatting>
  <conditionalFormatting sqref="N4:N56">
    <cfRule type="expression" dxfId="7" priority="1">
      <formula>EXACT($N4,"S级·标杆IP")</formula>
    </cfRule>
    <cfRule type="expression" dxfId="6" priority="2">
      <formula>EXACT($N4,"A级·主力IP")</formula>
    </cfRule>
    <cfRule type="expression" dxfId="5" priority="3">
      <formula>EXACT($N4,"B级·储备IP")</formula>
    </cfRule>
    <cfRule type="expression" dxfId="4" priority="4">
      <formula>EXACT($N4,"暂不推荐·幕后支持")</formula>
    </cfRule>
  </conditionalFormatting>
  <dataValidations count="2">
    <dataValidation type="list" allowBlank="1" errorTitle="录入校验" error="请输入允许范围内的值" sqref="F4:F56" xr:uid="{00000000-0002-0000-0100-000000000000}">
      <formula1>"待初筛,初筛通过,待定,未通过"</formula1>
    </dataValidation>
    <dataValidation type="list" allowBlank="1" errorTitle="录入校验" error="请输入允许范围内的值" sqref="H4:H56" xr:uid="{00000000-0002-0000-0100-000001000000}">
      <formula1>"男,女"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6"/>
  <sheetViews>
    <sheetView showGridLines="0" zoomScale="85" zoomScaleNormal="85" workbookViewId="0">
      <pane xSplit="4" ySplit="3" topLeftCell="M4" activePane="bottomRight" state="frozen"/>
      <selection pane="topRight"/>
      <selection pane="bottomLeft"/>
      <selection pane="bottomRight" activeCell="D11" sqref="D11"/>
    </sheetView>
  </sheetViews>
  <sheetFormatPr defaultRowHeight="13.5" x14ac:dyDescent="0.15"/>
  <cols>
    <col min="1" max="1" width="6" customWidth="1"/>
    <col min="2" max="2" width="11" customWidth="1"/>
    <col min="3" max="3" width="13" customWidth="1"/>
    <col min="4" max="4" width="12" customWidth="1"/>
    <col min="5" max="10" width="11" customWidth="1"/>
    <col min="11" max="11" width="10" customWidth="1"/>
    <col min="12" max="12" width="42" customWidth="1"/>
    <col min="13" max="13" width="10" customWidth="1"/>
    <col min="14" max="14" width="42" customWidth="1"/>
    <col min="15" max="16" width="10" customWidth="1"/>
    <col min="17" max="17" width="9" customWidth="1"/>
    <col min="18" max="18" width="16" customWidth="1"/>
    <col min="19" max="19" width="20" customWidth="1"/>
    <col min="20" max="20" width="16" customWidth="1"/>
    <col min="21" max="22" width="9" customWidth="1"/>
    <col min="23" max="23" width="18" customWidth="1"/>
    <col min="24" max="24" width="30" customWidth="1"/>
    <col min="25" max="25" width="16" customWidth="1"/>
  </cols>
  <sheetData>
    <row r="1" spans="1:25" ht="30" customHeight="1" x14ac:dyDescent="0.15">
      <c r="A1" s="23" t="s">
        <v>99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21.95" customHeight="1" x14ac:dyDescent="0.15">
      <c r="A2" s="22" t="s">
        <v>41</v>
      </c>
      <c r="B2" s="28"/>
      <c r="C2" s="28"/>
      <c r="D2" s="28"/>
      <c r="E2" s="21" t="s">
        <v>100</v>
      </c>
      <c r="F2" s="28"/>
      <c r="G2" s="28"/>
      <c r="H2" s="28"/>
      <c r="I2" s="28"/>
      <c r="J2" s="28"/>
      <c r="K2" s="28"/>
      <c r="L2" s="21" t="s">
        <v>101</v>
      </c>
      <c r="M2" s="28"/>
      <c r="N2" s="28"/>
      <c r="O2" s="28"/>
      <c r="P2" s="28"/>
      <c r="Q2" s="21" t="s">
        <v>102</v>
      </c>
      <c r="R2" s="28"/>
      <c r="S2" s="22" t="s">
        <v>103</v>
      </c>
      <c r="T2" s="28"/>
      <c r="U2" s="28"/>
      <c r="V2" s="28"/>
      <c r="W2" s="28"/>
      <c r="X2" s="28"/>
      <c r="Y2" s="22" t="s">
        <v>104</v>
      </c>
    </row>
    <row r="3" spans="1:25" ht="44.1" customHeight="1" x14ac:dyDescent="0.15">
      <c r="A3" s="8" t="s">
        <v>45</v>
      </c>
      <c r="B3" s="8" t="s">
        <v>46</v>
      </c>
      <c r="C3" s="8" t="s">
        <v>47</v>
      </c>
      <c r="D3" s="8" t="s">
        <v>50</v>
      </c>
      <c r="E3" s="8" t="s">
        <v>105</v>
      </c>
      <c r="F3" s="8" t="s">
        <v>106</v>
      </c>
      <c r="G3" s="8" t="s">
        <v>107</v>
      </c>
      <c r="H3" s="8" t="s">
        <v>108</v>
      </c>
      <c r="I3" s="8" t="s">
        <v>109</v>
      </c>
      <c r="J3" s="8" t="s">
        <v>110</v>
      </c>
      <c r="K3" s="9" t="s">
        <v>111</v>
      </c>
      <c r="L3" s="8" t="s">
        <v>112</v>
      </c>
      <c r="M3" s="8" t="s">
        <v>113</v>
      </c>
      <c r="N3" s="8" t="s">
        <v>114</v>
      </c>
      <c r="O3" s="8" t="s">
        <v>115</v>
      </c>
      <c r="P3" s="9" t="s">
        <v>116</v>
      </c>
      <c r="Q3" s="9" t="s">
        <v>117</v>
      </c>
      <c r="R3" s="9" t="s">
        <v>118</v>
      </c>
      <c r="S3" s="8" t="s">
        <v>119</v>
      </c>
      <c r="T3" s="8" t="s">
        <v>120</v>
      </c>
      <c r="U3" s="8" t="s">
        <v>121</v>
      </c>
      <c r="V3" s="8" t="s">
        <v>122</v>
      </c>
      <c r="W3" s="8" t="s">
        <v>123</v>
      </c>
      <c r="X3" s="8" t="s">
        <v>124</v>
      </c>
      <c r="Y3" s="8" t="s">
        <v>125</v>
      </c>
    </row>
    <row r="4" spans="1:25" ht="60" customHeight="1" x14ac:dyDescent="0.15">
      <c r="A4" s="29">
        <f t="shared" ref="A4:A35" si="0">IF($D4="","",ROW()-3)</f>
        <v>1</v>
      </c>
      <c r="B4" s="29" t="s">
        <v>59</v>
      </c>
      <c r="C4" s="29" t="s">
        <v>60</v>
      </c>
      <c r="D4" s="29" t="s">
        <v>64</v>
      </c>
      <c r="E4" s="29">
        <v>24</v>
      </c>
      <c r="F4" s="29">
        <v>23</v>
      </c>
      <c r="G4" s="29">
        <v>19</v>
      </c>
      <c r="H4" s="29">
        <v>19</v>
      </c>
      <c r="I4" s="29">
        <v>14</v>
      </c>
      <c r="J4" s="29">
        <v>23</v>
      </c>
      <c r="K4" s="29">
        <f t="shared" ref="K4:K35" si="1">IF($D4="","",IF(COUNT($E4:$J4)=6,SUM($E4:$J4),""))</f>
        <v>122</v>
      </c>
      <c r="L4" s="30" t="s">
        <v>126</v>
      </c>
      <c r="M4" s="29">
        <v>10</v>
      </c>
      <c r="N4" s="30" t="s">
        <v>127</v>
      </c>
      <c r="O4" s="29">
        <v>9</v>
      </c>
      <c r="P4" s="29">
        <f t="shared" ref="P4:P35" si="2">IF($D4="","",IF(AND(ISNUMBER($M4),ISNUMBER($O4)),$M4+$O4,""))</f>
        <v>19</v>
      </c>
      <c r="Q4" s="29">
        <f t="shared" ref="Q4:Q35" si="3">IF($D4="","",IF(AND(ISNUMBER(K4),ISNUMBER(P4)),K4+P4,""))</f>
        <v>141</v>
      </c>
      <c r="R4" s="29" t="str">
        <f t="shared" ref="R4:R35" si="4">IF(OR($D4="",K4=""),"",IF(AND(Q4&gt;=112,K4&gt;=102,P4&gt;=10),"S级·标杆IP",IF(AND(Q4&gt;=88,K4&gt;=80,P4&gt;=4),"A级·主力IP",IF(AND(Q4&gt;=65,K4&gt;=60),"B级·储备IP","暂不推荐·幕后支持"))))</f>
        <v>S级·标杆IP</v>
      </c>
      <c r="S4" s="30" t="s">
        <v>128</v>
      </c>
      <c r="T4" s="29" t="s">
        <v>129</v>
      </c>
      <c r="U4" s="29" t="s">
        <v>130</v>
      </c>
      <c r="V4" s="29" t="s">
        <v>131</v>
      </c>
      <c r="W4" s="29" t="s">
        <v>132</v>
      </c>
      <c r="X4" s="30" t="s">
        <v>133</v>
      </c>
      <c r="Y4" s="30" t="s">
        <v>70</v>
      </c>
    </row>
    <row r="5" spans="1:25" ht="60" customHeight="1" x14ac:dyDescent="0.15">
      <c r="A5" s="29">
        <f t="shared" si="0"/>
        <v>2</v>
      </c>
      <c r="B5" s="29" t="s">
        <v>59</v>
      </c>
      <c r="C5" s="29" t="s">
        <v>71</v>
      </c>
      <c r="D5" s="29" t="s">
        <v>75</v>
      </c>
      <c r="E5" s="29">
        <v>18</v>
      </c>
      <c r="F5" s="29">
        <v>17</v>
      </c>
      <c r="G5" s="29">
        <v>17</v>
      </c>
      <c r="H5" s="29">
        <v>15</v>
      </c>
      <c r="I5" s="29">
        <v>12</v>
      </c>
      <c r="J5" s="29">
        <v>14</v>
      </c>
      <c r="K5" s="29">
        <f t="shared" si="1"/>
        <v>93</v>
      </c>
      <c r="L5" s="30" t="s">
        <v>134</v>
      </c>
      <c r="M5" s="29">
        <v>5</v>
      </c>
      <c r="N5" s="30" t="s">
        <v>135</v>
      </c>
      <c r="O5" s="29">
        <v>5</v>
      </c>
      <c r="P5" s="29">
        <f t="shared" si="2"/>
        <v>10</v>
      </c>
      <c r="Q5" s="29">
        <f t="shared" si="3"/>
        <v>103</v>
      </c>
      <c r="R5" s="29" t="str">
        <f t="shared" si="4"/>
        <v>A级·主力IP</v>
      </c>
      <c r="S5" s="30" t="s">
        <v>136</v>
      </c>
      <c r="T5" s="29" t="s">
        <v>137</v>
      </c>
      <c r="U5" s="29" t="s">
        <v>138</v>
      </c>
      <c r="V5" s="29" t="s">
        <v>139</v>
      </c>
      <c r="W5" s="29" t="s">
        <v>140</v>
      </c>
      <c r="X5" s="30" t="s">
        <v>141</v>
      </c>
      <c r="Y5" s="30" t="s">
        <v>70</v>
      </c>
    </row>
    <row r="6" spans="1:25" ht="60" customHeight="1" x14ac:dyDescent="0.15">
      <c r="A6" s="29">
        <f t="shared" si="0"/>
        <v>3</v>
      </c>
      <c r="B6" s="29" t="s">
        <v>59</v>
      </c>
      <c r="C6" s="29" t="s">
        <v>81</v>
      </c>
      <c r="D6" s="29" t="s">
        <v>85</v>
      </c>
      <c r="E6" s="29">
        <v>18</v>
      </c>
      <c r="F6" s="29">
        <v>17</v>
      </c>
      <c r="G6" s="29">
        <v>14</v>
      </c>
      <c r="H6" s="29">
        <v>12</v>
      </c>
      <c r="I6" s="29">
        <v>10</v>
      </c>
      <c r="J6" s="29">
        <v>14</v>
      </c>
      <c r="K6" s="29">
        <f t="shared" si="1"/>
        <v>85</v>
      </c>
      <c r="L6" s="30" t="s">
        <v>142</v>
      </c>
      <c r="M6" s="29">
        <v>1</v>
      </c>
      <c r="N6" s="30" t="s">
        <v>143</v>
      </c>
      <c r="O6" s="29">
        <v>1</v>
      </c>
      <c r="P6" s="29">
        <f t="shared" si="2"/>
        <v>2</v>
      </c>
      <c r="Q6" s="29">
        <f t="shared" si="3"/>
        <v>87</v>
      </c>
      <c r="R6" s="29" t="str">
        <f t="shared" si="4"/>
        <v>B级·储备IP</v>
      </c>
      <c r="S6" s="30" t="s">
        <v>144</v>
      </c>
      <c r="T6" s="29" t="s">
        <v>145</v>
      </c>
      <c r="U6" s="29" t="s">
        <v>146</v>
      </c>
      <c r="V6" s="29" t="s">
        <v>147</v>
      </c>
      <c r="W6" s="29" t="s">
        <v>148</v>
      </c>
      <c r="X6" s="30" t="s">
        <v>149</v>
      </c>
      <c r="Y6" s="30" t="s">
        <v>70</v>
      </c>
    </row>
    <row r="7" spans="1:25" ht="60" customHeight="1" x14ac:dyDescent="0.15">
      <c r="A7" s="29">
        <f t="shared" si="0"/>
        <v>4</v>
      </c>
      <c r="B7" s="29" t="s">
        <v>59</v>
      </c>
      <c r="C7" s="29" t="s">
        <v>90</v>
      </c>
      <c r="D7" s="29" t="s">
        <v>94</v>
      </c>
      <c r="E7" s="29">
        <v>10</v>
      </c>
      <c r="F7" s="29">
        <v>9</v>
      </c>
      <c r="G7" s="29">
        <v>8</v>
      </c>
      <c r="H7" s="29">
        <v>7</v>
      </c>
      <c r="I7" s="29">
        <v>6</v>
      </c>
      <c r="J7" s="29">
        <v>8</v>
      </c>
      <c r="K7" s="29">
        <f t="shared" si="1"/>
        <v>48</v>
      </c>
      <c r="L7" s="30" t="s">
        <v>150</v>
      </c>
      <c r="M7" s="29">
        <v>0</v>
      </c>
      <c r="N7" s="30" t="s">
        <v>151</v>
      </c>
      <c r="O7" s="29">
        <v>0</v>
      </c>
      <c r="P7" s="29">
        <f t="shared" si="2"/>
        <v>0</v>
      </c>
      <c r="Q7" s="29">
        <f t="shared" si="3"/>
        <v>48</v>
      </c>
      <c r="R7" s="29" t="str">
        <f t="shared" si="4"/>
        <v>暂不推荐·幕后支持</v>
      </c>
      <c r="S7" s="30" t="s">
        <v>152</v>
      </c>
      <c r="T7" s="29" t="s">
        <v>153</v>
      </c>
      <c r="U7" s="29" t="s">
        <v>154</v>
      </c>
      <c r="V7" s="29" t="s">
        <v>155</v>
      </c>
      <c r="W7" s="29" t="s">
        <v>156</v>
      </c>
      <c r="X7" s="30" t="s">
        <v>157</v>
      </c>
      <c r="Y7" s="30" t="s">
        <v>70</v>
      </c>
    </row>
    <row r="8" spans="1:25" ht="48" customHeight="1" x14ac:dyDescent="0.15">
      <c r="A8" s="10" t="str">
        <f t="shared" si="0"/>
        <v/>
      </c>
      <c r="B8" s="10"/>
      <c r="C8" s="10"/>
      <c r="D8" s="10"/>
      <c r="E8" s="10"/>
      <c r="F8" s="10"/>
      <c r="G8" s="10"/>
      <c r="H8" s="10"/>
      <c r="I8" s="10"/>
      <c r="J8" s="10"/>
      <c r="K8" s="12" t="str">
        <f t="shared" si="1"/>
        <v/>
      </c>
      <c r="L8" s="11"/>
      <c r="M8" s="10"/>
      <c r="N8" s="11"/>
      <c r="O8" s="10"/>
      <c r="P8" s="12" t="str">
        <f t="shared" si="2"/>
        <v/>
      </c>
      <c r="Q8" s="12" t="str">
        <f t="shared" si="3"/>
        <v/>
      </c>
      <c r="R8" s="12" t="str">
        <f t="shared" si="4"/>
        <v/>
      </c>
      <c r="S8" s="11"/>
      <c r="T8" s="10"/>
      <c r="U8" s="10"/>
      <c r="V8" s="10"/>
      <c r="W8" s="10"/>
      <c r="X8" s="11"/>
      <c r="Y8" s="11"/>
    </row>
    <row r="9" spans="1:25" ht="48" customHeight="1" x14ac:dyDescent="0.15">
      <c r="A9" s="10" t="str">
        <f t="shared" si="0"/>
        <v/>
      </c>
      <c r="B9" s="10"/>
      <c r="C9" s="10"/>
      <c r="D9" s="10"/>
      <c r="E9" s="10"/>
      <c r="F9" s="10"/>
      <c r="G9" s="10"/>
      <c r="H9" s="10"/>
      <c r="I9" s="10"/>
      <c r="J9" s="10"/>
      <c r="K9" s="12" t="str">
        <f t="shared" si="1"/>
        <v/>
      </c>
      <c r="L9" s="11"/>
      <c r="M9" s="10"/>
      <c r="N9" s="11"/>
      <c r="O9" s="10"/>
      <c r="P9" s="12" t="str">
        <f t="shared" si="2"/>
        <v/>
      </c>
      <c r="Q9" s="12" t="str">
        <f t="shared" si="3"/>
        <v/>
      </c>
      <c r="R9" s="12" t="str">
        <f t="shared" si="4"/>
        <v/>
      </c>
      <c r="S9" s="11"/>
      <c r="T9" s="10"/>
      <c r="U9" s="10"/>
      <c r="V9" s="10"/>
      <c r="W9" s="10"/>
      <c r="X9" s="11"/>
      <c r="Y9" s="11"/>
    </row>
    <row r="10" spans="1:25" ht="48" customHeight="1" x14ac:dyDescent="0.15">
      <c r="A10" s="10" t="str">
        <f t="shared" si="0"/>
        <v/>
      </c>
      <c r="B10" s="10"/>
      <c r="C10" s="10"/>
      <c r="D10" s="10"/>
      <c r="E10" s="10"/>
      <c r="F10" s="10"/>
      <c r="G10" s="10"/>
      <c r="H10" s="10"/>
      <c r="I10" s="10"/>
      <c r="J10" s="10"/>
      <c r="K10" s="12" t="str">
        <f t="shared" si="1"/>
        <v/>
      </c>
      <c r="L10" s="11"/>
      <c r="M10" s="10"/>
      <c r="N10" s="11"/>
      <c r="O10" s="10"/>
      <c r="P10" s="12" t="str">
        <f t="shared" si="2"/>
        <v/>
      </c>
      <c r="Q10" s="12" t="str">
        <f t="shared" si="3"/>
        <v/>
      </c>
      <c r="R10" s="12" t="str">
        <f t="shared" si="4"/>
        <v/>
      </c>
      <c r="S10" s="11"/>
      <c r="T10" s="10"/>
      <c r="U10" s="10"/>
      <c r="V10" s="10"/>
      <c r="W10" s="10"/>
      <c r="X10" s="11"/>
      <c r="Y10" s="11"/>
    </row>
    <row r="11" spans="1:25" ht="48" customHeight="1" x14ac:dyDescent="0.15">
      <c r="A11" s="10" t="str">
        <f t="shared" si="0"/>
        <v/>
      </c>
      <c r="B11" s="10"/>
      <c r="C11" s="10"/>
      <c r="D11" s="10"/>
      <c r="E11" s="10"/>
      <c r="F11" s="10"/>
      <c r="G11" s="10"/>
      <c r="H11" s="10"/>
      <c r="I11" s="10"/>
      <c r="J11" s="10"/>
      <c r="K11" s="12" t="str">
        <f t="shared" si="1"/>
        <v/>
      </c>
      <c r="L11" s="11"/>
      <c r="M11" s="10"/>
      <c r="N11" s="11"/>
      <c r="O11" s="10"/>
      <c r="P11" s="12" t="str">
        <f t="shared" si="2"/>
        <v/>
      </c>
      <c r="Q11" s="12" t="str">
        <f t="shared" si="3"/>
        <v/>
      </c>
      <c r="R11" s="12" t="str">
        <f t="shared" si="4"/>
        <v/>
      </c>
      <c r="S11" s="11"/>
      <c r="T11" s="10"/>
      <c r="U11" s="10"/>
      <c r="V11" s="10"/>
      <c r="W11" s="10"/>
      <c r="X11" s="11"/>
      <c r="Y11" s="11"/>
    </row>
    <row r="12" spans="1:25" ht="48" customHeight="1" x14ac:dyDescent="0.15">
      <c r="A12" s="10" t="str">
        <f t="shared" si="0"/>
        <v/>
      </c>
      <c r="B12" s="10"/>
      <c r="C12" s="10"/>
      <c r="D12" s="10"/>
      <c r="E12" s="10"/>
      <c r="F12" s="10"/>
      <c r="G12" s="10"/>
      <c r="H12" s="10"/>
      <c r="I12" s="10"/>
      <c r="J12" s="10"/>
      <c r="K12" s="12" t="str">
        <f t="shared" si="1"/>
        <v/>
      </c>
      <c r="L12" s="11"/>
      <c r="M12" s="10"/>
      <c r="N12" s="11"/>
      <c r="O12" s="10"/>
      <c r="P12" s="12" t="str">
        <f t="shared" si="2"/>
        <v/>
      </c>
      <c r="Q12" s="12" t="str">
        <f t="shared" si="3"/>
        <v/>
      </c>
      <c r="R12" s="12" t="str">
        <f t="shared" si="4"/>
        <v/>
      </c>
      <c r="S12" s="11"/>
      <c r="T12" s="10"/>
      <c r="U12" s="10"/>
      <c r="V12" s="10"/>
      <c r="W12" s="10"/>
      <c r="X12" s="11"/>
      <c r="Y12" s="11"/>
    </row>
    <row r="13" spans="1:25" ht="48" customHeight="1" x14ac:dyDescent="0.15">
      <c r="A13" s="10" t="str">
        <f t="shared" si="0"/>
        <v/>
      </c>
      <c r="B13" s="10"/>
      <c r="C13" s="10"/>
      <c r="D13" s="10"/>
      <c r="E13" s="10"/>
      <c r="F13" s="10"/>
      <c r="G13" s="10"/>
      <c r="H13" s="10"/>
      <c r="I13" s="10"/>
      <c r="J13" s="10"/>
      <c r="K13" s="12" t="str">
        <f t="shared" si="1"/>
        <v/>
      </c>
      <c r="L13" s="11"/>
      <c r="M13" s="10"/>
      <c r="N13" s="11"/>
      <c r="O13" s="10"/>
      <c r="P13" s="12" t="str">
        <f t="shared" si="2"/>
        <v/>
      </c>
      <c r="Q13" s="12" t="str">
        <f t="shared" si="3"/>
        <v/>
      </c>
      <c r="R13" s="12" t="str">
        <f t="shared" si="4"/>
        <v/>
      </c>
      <c r="S13" s="11"/>
      <c r="T13" s="10"/>
      <c r="U13" s="10"/>
      <c r="V13" s="10"/>
      <c r="W13" s="10"/>
      <c r="X13" s="11"/>
      <c r="Y13" s="11"/>
    </row>
    <row r="14" spans="1:25" ht="48" customHeight="1" x14ac:dyDescent="0.15">
      <c r="A14" s="10" t="str">
        <f t="shared" si="0"/>
        <v/>
      </c>
      <c r="B14" s="10"/>
      <c r="C14" s="10"/>
      <c r="D14" s="10"/>
      <c r="E14" s="10"/>
      <c r="F14" s="10"/>
      <c r="G14" s="10"/>
      <c r="H14" s="10"/>
      <c r="I14" s="10"/>
      <c r="J14" s="10"/>
      <c r="K14" s="12" t="str">
        <f t="shared" si="1"/>
        <v/>
      </c>
      <c r="L14" s="11"/>
      <c r="M14" s="10"/>
      <c r="N14" s="11"/>
      <c r="O14" s="10"/>
      <c r="P14" s="12" t="str">
        <f t="shared" si="2"/>
        <v/>
      </c>
      <c r="Q14" s="12" t="str">
        <f t="shared" si="3"/>
        <v/>
      </c>
      <c r="R14" s="12" t="str">
        <f t="shared" si="4"/>
        <v/>
      </c>
      <c r="S14" s="11"/>
      <c r="T14" s="10"/>
      <c r="U14" s="10"/>
      <c r="V14" s="10"/>
      <c r="W14" s="10"/>
      <c r="X14" s="11"/>
      <c r="Y14" s="11"/>
    </row>
    <row r="15" spans="1:25" ht="48" customHeight="1" x14ac:dyDescent="0.15">
      <c r="A15" s="10" t="str">
        <f t="shared" si="0"/>
        <v/>
      </c>
      <c r="B15" s="10"/>
      <c r="C15" s="10"/>
      <c r="D15" s="10"/>
      <c r="E15" s="10"/>
      <c r="F15" s="10"/>
      <c r="G15" s="10"/>
      <c r="H15" s="10"/>
      <c r="I15" s="10"/>
      <c r="J15" s="10"/>
      <c r="K15" s="12" t="str">
        <f t="shared" si="1"/>
        <v/>
      </c>
      <c r="L15" s="11"/>
      <c r="M15" s="10"/>
      <c r="N15" s="11"/>
      <c r="O15" s="10"/>
      <c r="P15" s="12" t="str">
        <f t="shared" si="2"/>
        <v/>
      </c>
      <c r="Q15" s="12" t="str">
        <f t="shared" si="3"/>
        <v/>
      </c>
      <c r="R15" s="12" t="str">
        <f t="shared" si="4"/>
        <v/>
      </c>
      <c r="S15" s="11"/>
      <c r="T15" s="10"/>
      <c r="U15" s="10"/>
      <c r="V15" s="10"/>
      <c r="W15" s="10"/>
      <c r="X15" s="11"/>
      <c r="Y15" s="11"/>
    </row>
    <row r="16" spans="1:25" ht="48" customHeight="1" x14ac:dyDescent="0.15">
      <c r="A16" s="10" t="str">
        <f t="shared" si="0"/>
        <v/>
      </c>
      <c r="B16" s="10"/>
      <c r="C16" s="10"/>
      <c r="D16" s="10"/>
      <c r="E16" s="10"/>
      <c r="F16" s="10"/>
      <c r="G16" s="10"/>
      <c r="H16" s="10"/>
      <c r="I16" s="10"/>
      <c r="J16" s="10"/>
      <c r="K16" s="12" t="str">
        <f t="shared" si="1"/>
        <v/>
      </c>
      <c r="L16" s="11"/>
      <c r="M16" s="10"/>
      <c r="N16" s="11"/>
      <c r="O16" s="10"/>
      <c r="P16" s="12" t="str">
        <f t="shared" si="2"/>
        <v/>
      </c>
      <c r="Q16" s="12" t="str">
        <f t="shared" si="3"/>
        <v/>
      </c>
      <c r="R16" s="12" t="str">
        <f t="shared" si="4"/>
        <v/>
      </c>
      <c r="S16" s="11"/>
      <c r="T16" s="10"/>
      <c r="U16" s="10"/>
      <c r="V16" s="10"/>
      <c r="W16" s="10"/>
      <c r="X16" s="11"/>
      <c r="Y16" s="11"/>
    </row>
    <row r="17" spans="1:25" ht="48" customHeight="1" x14ac:dyDescent="0.15">
      <c r="A17" s="10" t="str">
        <f t="shared" si="0"/>
        <v/>
      </c>
      <c r="B17" s="10"/>
      <c r="C17" s="10"/>
      <c r="D17" s="10"/>
      <c r="E17" s="10"/>
      <c r="F17" s="10"/>
      <c r="G17" s="10"/>
      <c r="H17" s="10"/>
      <c r="I17" s="10"/>
      <c r="J17" s="10"/>
      <c r="K17" s="12" t="str">
        <f t="shared" si="1"/>
        <v/>
      </c>
      <c r="L17" s="11"/>
      <c r="M17" s="10"/>
      <c r="N17" s="11"/>
      <c r="O17" s="10"/>
      <c r="P17" s="12" t="str">
        <f t="shared" si="2"/>
        <v/>
      </c>
      <c r="Q17" s="12" t="str">
        <f t="shared" si="3"/>
        <v/>
      </c>
      <c r="R17" s="12" t="str">
        <f t="shared" si="4"/>
        <v/>
      </c>
      <c r="S17" s="11"/>
      <c r="T17" s="10"/>
      <c r="U17" s="10"/>
      <c r="V17" s="10"/>
      <c r="W17" s="10"/>
      <c r="X17" s="11"/>
      <c r="Y17" s="11"/>
    </row>
    <row r="18" spans="1:25" ht="48" customHeight="1" x14ac:dyDescent="0.15">
      <c r="A18" s="10" t="str">
        <f t="shared" si="0"/>
        <v/>
      </c>
      <c r="B18" s="10"/>
      <c r="C18" s="10"/>
      <c r="D18" s="10"/>
      <c r="E18" s="10"/>
      <c r="F18" s="10"/>
      <c r="G18" s="10"/>
      <c r="H18" s="10"/>
      <c r="I18" s="10"/>
      <c r="J18" s="10"/>
      <c r="K18" s="12" t="str">
        <f t="shared" si="1"/>
        <v/>
      </c>
      <c r="L18" s="11"/>
      <c r="M18" s="10"/>
      <c r="N18" s="11"/>
      <c r="O18" s="10"/>
      <c r="P18" s="12" t="str">
        <f t="shared" si="2"/>
        <v/>
      </c>
      <c r="Q18" s="12" t="str">
        <f t="shared" si="3"/>
        <v/>
      </c>
      <c r="R18" s="12" t="str">
        <f t="shared" si="4"/>
        <v/>
      </c>
      <c r="S18" s="11"/>
      <c r="T18" s="10"/>
      <c r="U18" s="10"/>
      <c r="V18" s="10"/>
      <c r="W18" s="10"/>
      <c r="X18" s="11"/>
      <c r="Y18" s="11"/>
    </row>
    <row r="19" spans="1:25" ht="48" customHeight="1" x14ac:dyDescent="0.15">
      <c r="A19" s="10" t="str">
        <f t="shared" si="0"/>
        <v/>
      </c>
      <c r="B19" s="10"/>
      <c r="C19" s="10"/>
      <c r="D19" s="10"/>
      <c r="E19" s="10"/>
      <c r="F19" s="10"/>
      <c r="G19" s="10"/>
      <c r="H19" s="10"/>
      <c r="I19" s="10"/>
      <c r="J19" s="10"/>
      <c r="K19" s="12" t="str">
        <f t="shared" si="1"/>
        <v/>
      </c>
      <c r="L19" s="11"/>
      <c r="M19" s="10"/>
      <c r="N19" s="11"/>
      <c r="O19" s="10"/>
      <c r="P19" s="12" t="str">
        <f t="shared" si="2"/>
        <v/>
      </c>
      <c r="Q19" s="12" t="str">
        <f t="shared" si="3"/>
        <v/>
      </c>
      <c r="R19" s="12" t="str">
        <f t="shared" si="4"/>
        <v/>
      </c>
      <c r="S19" s="11"/>
      <c r="T19" s="10"/>
      <c r="U19" s="10"/>
      <c r="V19" s="10"/>
      <c r="W19" s="10"/>
      <c r="X19" s="11"/>
      <c r="Y19" s="11"/>
    </row>
    <row r="20" spans="1:25" ht="48" customHeight="1" x14ac:dyDescent="0.15">
      <c r="A20" s="10" t="str">
        <f t="shared" si="0"/>
        <v/>
      </c>
      <c r="B20" s="10"/>
      <c r="C20" s="10"/>
      <c r="D20" s="10"/>
      <c r="E20" s="10"/>
      <c r="F20" s="10"/>
      <c r="G20" s="10"/>
      <c r="H20" s="10"/>
      <c r="I20" s="10"/>
      <c r="J20" s="10"/>
      <c r="K20" s="12" t="str">
        <f t="shared" si="1"/>
        <v/>
      </c>
      <c r="L20" s="11"/>
      <c r="M20" s="10"/>
      <c r="N20" s="11"/>
      <c r="O20" s="10"/>
      <c r="P20" s="12" t="str">
        <f t="shared" si="2"/>
        <v/>
      </c>
      <c r="Q20" s="12" t="str">
        <f t="shared" si="3"/>
        <v/>
      </c>
      <c r="R20" s="12" t="str">
        <f t="shared" si="4"/>
        <v/>
      </c>
      <c r="S20" s="11"/>
      <c r="T20" s="10"/>
      <c r="U20" s="10"/>
      <c r="V20" s="10"/>
      <c r="W20" s="10"/>
      <c r="X20" s="11"/>
      <c r="Y20" s="11"/>
    </row>
    <row r="21" spans="1:25" ht="48" customHeight="1" x14ac:dyDescent="0.15">
      <c r="A21" s="10" t="str">
        <f t="shared" si="0"/>
        <v/>
      </c>
      <c r="B21" s="10"/>
      <c r="C21" s="10"/>
      <c r="D21" s="10"/>
      <c r="E21" s="10"/>
      <c r="F21" s="10"/>
      <c r="G21" s="10"/>
      <c r="H21" s="10"/>
      <c r="I21" s="10"/>
      <c r="J21" s="10"/>
      <c r="K21" s="12" t="str">
        <f t="shared" si="1"/>
        <v/>
      </c>
      <c r="L21" s="11"/>
      <c r="M21" s="10"/>
      <c r="N21" s="11"/>
      <c r="O21" s="10"/>
      <c r="P21" s="12" t="str">
        <f t="shared" si="2"/>
        <v/>
      </c>
      <c r="Q21" s="12" t="str">
        <f t="shared" si="3"/>
        <v/>
      </c>
      <c r="R21" s="12" t="str">
        <f t="shared" si="4"/>
        <v/>
      </c>
      <c r="S21" s="11"/>
      <c r="T21" s="10"/>
      <c r="U21" s="10"/>
      <c r="V21" s="10"/>
      <c r="W21" s="10"/>
      <c r="X21" s="11"/>
      <c r="Y21" s="11"/>
    </row>
    <row r="22" spans="1:25" ht="48" customHeight="1" x14ac:dyDescent="0.15">
      <c r="A22" s="10" t="str">
        <f t="shared" si="0"/>
        <v/>
      </c>
      <c r="B22" s="10"/>
      <c r="C22" s="10"/>
      <c r="D22" s="10"/>
      <c r="E22" s="10"/>
      <c r="F22" s="10"/>
      <c r="G22" s="10"/>
      <c r="H22" s="10"/>
      <c r="I22" s="10"/>
      <c r="J22" s="10"/>
      <c r="K22" s="12" t="str">
        <f t="shared" si="1"/>
        <v/>
      </c>
      <c r="L22" s="11"/>
      <c r="M22" s="10"/>
      <c r="N22" s="11"/>
      <c r="O22" s="10"/>
      <c r="P22" s="12" t="str">
        <f t="shared" si="2"/>
        <v/>
      </c>
      <c r="Q22" s="12" t="str">
        <f t="shared" si="3"/>
        <v/>
      </c>
      <c r="R22" s="12" t="str">
        <f t="shared" si="4"/>
        <v/>
      </c>
      <c r="S22" s="11"/>
      <c r="T22" s="10"/>
      <c r="U22" s="10"/>
      <c r="V22" s="10"/>
      <c r="W22" s="10"/>
      <c r="X22" s="11"/>
      <c r="Y22" s="11"/>
    </row>
    <row r="23" spans="1:25" ht="48" customHeight="1" x14ac:dyDescent="0.15">
      <c r="A23" s="10" t="str">
        <f t="shared" si="0"/>
        <v/>
      </c>
      <c r="B23" s="10"/>
      <c r="C23" s="10"/>
      <c r="D23" s="10"/>
      <c r="E23" s="10"/>
      <c r="F23" s="10"/>
      <c r="G23" s="10"/>
      <c r="H23" s="10"/>
      <c r="I23" s="10"/>
      <c r="J23" s="10"/>
      <c r="K23" s="12" t="str">
        <f t="shared" si="1"/>
        <v/>
      </c>
      <c r="L23" s="11"/>
      <c r="M23" s="10"/>
      <c r="N23" s="11"/>
      <c r="O23" s="10"/>
      <c r="P23" s="12" t="str">
        <f t="shared" si="2"/>
        <v/>
      </c>
      <c r="Q23" s="12" t="str">
        <f t="shared" si="3"/>
        <v/>
      </c>
      <c r="R23" s="12" t="str">
        <f t="shared" si="4"/>
        <v/>
      </c>
      <c r="S23" s="11"/>
      <c r="T23" s="10"/>
      <c r="U23" s="10"/>
      <c r="V23" s="10"/>
      <c r="W23" s="10"/>
      <c r="X23" s="11"/>
      <c r="Y23" s="11"/>
    </row>
    <row r="24" spans="1:25" ht="48" customHeight="1" x14ac:dyDescent="0.15">
      <c r="A24" s="10" t="str">
        <f t="shared" si="0"/>
        <v/>
      </c>
      <c r="B24" s="10"/>
      <c r="C24" s="10"/>
      <c r="D24" s="10"/>
      <c r="E24" s="10"/>
      <c r="F24" s="10"/>
      <c r="G24" s="10"/>
      <c r="H24" s="10"/>
      <c r="I24" s="10"/>
      <c r="J24" s="10"/>
      <c r="K24" s="12" t="str">
        <f t="shared" si="1"/>
        <v/>
      </c>
      <c r="L24" s="11"/>
      <c r="M24" s="10"/>
      <c r="N24" s="11"/>
      <c r="O24" s="10"/>
      <c r="P24" s="12" t="str">
        <f t="shared" si="2"/>
        <v/>
      </c>
      <c r="Q24" s="12" t="str">
        <f t="shared" si="3"/>
        <v/>
      </c>
      <c r="R24" s="12" t="str">
        <f t="shared" si="4"/>
        <v/>
      </c>
      <c r="S24" s="11"/>
      <c r="T24" s="10"/>
      <c r="U24" s="10"/>
      <c r="V24" s="10"/>
      <c r="W24" s="10"/>
      <c r="X24" s="11"/>
      <c r="Y24" s="11"/>
    </row>
    <row r="25" spans="1:25" ht="48" customHeight="1" x14ac:dyDescent="0.15">
      <c r="A25" s="10" t="str">
        <f t="shared" si="0"/>
        <v/>
      </c>
      <c r="B25" s="10"/>
      <c r="C25" s="10"/>
      <c r="D25" s="10"/>
      <c r="E25" s="10"/>
      <c r="F25" s="10"/>
      <c r="G25" s="10"/>
      <c r="H25" s="10"/>
      <c r="I25" s="10"/>
      <c r="J25" s="10"/>
      <c r="K25" s="12" t="str">
        <f t="shared" si="1"/>
        <v/>
      </c>
      <c r="L25" s="11"/>
      <c r="M25" s="10"/>
      <c r="N25" s="11"/>
      <c r="O25" s="10"/>
      <c r="P25" s="12" t="str">
        <f t="shared" si="2"/>
        <v/>
      </c>
      <c r="Q25" s="12" t="str">
        <f t="shared" si="3"/>
        <v/>
      </c>
      <c r="R25" s="12" t="str">
        <f t="shared" si="4"/>
        <v/>
      </c>
      <c r="S25" s="11"/>
      <c r="T25" s="10"/>
      <c r="U25" s="10"/>
      <c r="V25" s="10"/>
      <c r="W25" s="10"/>
      <c r="X25" s="11"/>
      <c r="Y25" s="11"/>
    </row>
    <row r="26" spans="1:25" ht="48" customHeight="1" x14ac:dyDescent="0.15">
      <c r="A26" s="10" t="str">
        <f t="shared" si="0"/>
        <v/>
      </c>
      <c r="B26" s="10"/>
      <c r="C26" s="10"/>
      <c r="D26" s="10"/>
      <c r="E26" s="10"/>
      <c r="F26" s="10"/>
      <c r="G26" s="10"/>
      <c r="H26" s="10"/>
      <c r="I26" s="10"/>
      <c r="J26" s="10"/>
      <c r="K26" s="12" t="str">
        <f t="shared" si="1"/>
        <v/>
      </c>
      <c r="L26" s="11"/>
      <c r="M26" s="10"/>
      <c r="N26" s="11"/>
      <c r="O26" s="10"/>
      <c r="P26" s="12" t="str">
        <f t="shared" si="2"/>
        <v/>
      </c>
      <c r="Q26" s="12" t="str">
        <f t="shared" si="3"/>
        <v/>
      </c>
      <c r="R26" s="12" t="str">
        <f t="shared" si="4"/>
        <v/>
      </c>
      <c r="S26" s="11"/>
      <c r="T26" s="10"/>
      <c r="U26" s="10"/>
      <c r="V26" s="10"/>
      <c r="W26" s="10"/>
      <c r="X26" s="11"/>
      <c r="Y26" s="11"/>
    </row>
    <row r="27" spans="1:25" ht="48" customHeight="1" x14ac:dyDescent="0.15">
      <c r="A27" s="10" t="str">
        <f t="shared" si="0"/>
        <v/>
      </c>
      <c r="B27" s="10"/>
      <c r="C27" s="10"/>
      <c r="D27" s="10"/>
      <c r="E27" s="10"/>
      <c r="F27" s="10"/>
      <c r="G27" s="10"/>
      <c r="H27" s="10"/>
      <c r="I27" s="10"/>
      <c r="J27" s="10"/>
      <c r="K27" s="12" t="str">
        <f t="shared" si="1"/>
        <v/>
      </c>
      <c r="L27" s="11"/>
      <c r="M27" s="10"/>
      <c r="N27" s="11"/>
      <c r="O27" s="10"/>
      <c r="P27" s="12" t="str">
        <f t="shared" si="2"/>
        <v/>
      </c>
      <c r="Q27" s="12" t="str">
        <f t="shared" si="3"/>
        <v/>
      </c>
      <c r="R27" s="12" t="str">
        <f t="shared" si="4"/>
        <v/>
      </c>
      <c r="S27" s="11"/>
      <c r="T27" s="10"/>
      <c r="U27" s="10"/>
      <c r="V27" s="10"/>
      <c r="W27" s="10"/>
      <c r="X27" s="11"/>
      <c r="Y27" s="11"/>
    </row>
    <row r="28" spans="1:25" ht="48" customHeight="1" x14ac:dyDescent="0.15">
      <c r="A28" s="10" t="str">
        <f t="shared" si="0"/>
        <v/>
      </c>
      <c r="B28" s="10"/>
      <c r="C28" s="10"/>
      <c r="D28" s="10"/>
      <c r="E28" s="10"/>
      <c r="F28" s="10"/>
      <c r="G28" s="10"/>
      <c r="H28" s="10"/>
      <c r="I28" s="10"/>
      <c r="J28" s="10"/>
      <c r="K28" s="12" t="str">
        <f t="shared" si="1"/>
        <v/>
      </c>
      <c r="L28" s="11"/>
      <c r="M28" s="10"/>
      <c r="N28" s="11"/>
      <c r="O28" s="10"/>
      <c r="P28" s="12" t="str">
        <f t="shared" si="2"/>
        <v/>
      </c>
      <c r="Q28" s="12" t="str">
        <f t="shared" si="3"/>
        <v/>
      </c>
      <c r="R28" s="12" t="str">
        <f t="shared" si="4"/>
        <v/>
      </c>
      <c r="S28" s="11"/>
      <c r="T28" s="10"/>
      <c r="U28" s="10"/>
      <c r="V28" s="10"/>
      <c r="W28" s="10"/>
      <c r="X28" s="11"/>
      <c r="Y28" s="11"/>
    </row>
    <row r="29" spans="1:25" ht="48" customHeight="1" x14ac:dyDescent="0.15">
      <c r="A29" s="10" t="str">
        <f t="shared" si="0"/>
        <v/>
      </c>
      <c r="B29" s="10"/>
      <c r="C29" s="10"/>
      <c r="D29" s="10"/>
      <c r="E29" s="10"/>
      <c r="F29" s="10"/>
      <c r="G29" s="10"/>
      <c r="H29" s="10"/>
      <c r="I29" s="10"/>
      <c r="J29" s="10"/>
      <c r="K29" s="12" t="str">
        <f t="shared" si="1"/>
        <v/>
      </c>
      <c r="L29" s="11"/>
      <c r="M29" s="10"/>
      <c r="N29" s="11"/>
      <c r="O29" s="10"/>
      <c r="P29" s="12" t="str">
        <f t="shared" si="2"/>
        <v/>
      </c>
      <c r="Q29" s="12" t="str">
        <f t="shared" si="3"/>
        <v/>
      </c>
      <c r="R29" s="12" t="str">
        <f t="shared" si="4"/>
        <v/>
      </c>
      <c r="S29" s="11"/>
      <c r="T29" s="10"/>
      <c r="U29" s="10"/>
      <c r="V29" s="10"/>
      <c r="W29" s="10"/>
      <c r="X29" s="11"/>
      <c r="Y29" s="11"/>
    </row>
    <row r="30" spans="1:25" ht="48" customHeight="1" x14ac:dyDescent="0.15">
      <c r="A30" s="10" t="str">
        <f t="shared" si="0"/>
        <v/>
      </c>
      <c r="B30" s="10"/>
      <c r="C30" s="10"/>
      <c r="D30" s="10"/>
      <c r="E30" s="10"/>
      <c r="F30" s="10"/>
      <c r="G30" s="10"/>
      <c r="H30" s="10"/>
      <c r="I30" s="10"/>
      <c r="J30" s="10"/>
      <c r="K30" s="12" t="str">
        <f t="shared" si="1"/>
        <v/>
      </c>
      <c r="L30" s="11"/>
      <c r="M30" s="10"/>
      <c r="N30" s="11"/>
      <c r="O30" s="10"/>
      <c r="P30" s="12" t="str">
        <f t="shared" si="2"/>
        <v/>
      </c>
      <c r="Q30" s="12" t="str">
        <f t="shared" si="3"/>
        <v/>
      </c>
      <c r="R30" s="12" t="str">
        <f t="shared" si="4"/>
        <v/>
      </c>
      <c r="S30" s="11"/>
      <c r="T30" s="10"/>
      <c r="U30" s="10"/>
      <c r="V30" s="10"/>
      <c r="W30" s="10"/>
      <c r="X30" s="11"/>
      <c r="Y30" s="11"/>
    </row>
    <row r="31" spans="1:25" ht="48" customHeight="1" x14ac:dyDescent="0.15">
      <c r="A31" s="10" t="str">
        <f t="shared" si="0"/>
        <v/>
      </c>
      <c r="B31" s="10"/>
      <c r="C31" s="10"/>
      <c r="D31" s="10"/>
      <c r="E31" s="10"/>
      <c r="F31" s="10"/>
      <c r="G31" s="10"/>
      <c r="H31" s="10"/>
      <c r="I31" s="10"/>
      <c r="J31" s="10"/>
      <c r="K31" s="12" t="str">
        <f t="shared" si="1"/>
        <v/>
      </c>
      <c r="L31" s="11"/>
      <c r="M31" s="10"/>
      <c r="N31" s="11"/>
      <c r="O31" s="10"/>
      <c r="P31" s="12" t="str">
        <f t="shared" si="2"/>
        <v/>
      </c>
      <c r="Q31" s="12" t="str">
        <f t="shared" si="3"/>
        <v/>
      </c>
      <c r="R31" s="12" t="str">
        <f t="shared" si="4"/>
        <v/>
      </c>
      <c r="S31" s="11"/>
      <c r="T31" s="10"/>
      <c r="U31" s="10"/>
      <c r="V31" s="10"/>
      <c r="W31" s="10"/>
      <c r="X31" s="11"/>
      <c r="Y31" s="11"/>
    </row>
    <row r="32" spans="1:25" ht="48" customHeight="1" x14ac:dyDescent="0.15">
      <c r="A32" s="10" t="str">
        <f t="shared" si="0"/>
        <v/>
      </c>
      <c r="B32" s="10"/>
      <c r="C32" s="10"/>
      <c r="D32" s="10"/>
      <c r="E32" s="10"/>
      <c r="F32" s="10"/>
      <c r="G32" s="10"/>
      <c r="H32" s="10"/>
      <c r="I32" s="10"/>
      <c r="J32" s="10"/>
      <c r="K32" s="12" t="str">
        <f t="shared" si="1"/>
        <v/>
      </c>
      <c r="L32" s="11"/>
      <c r="M32" s="10"/>
      <c r="N32" s="11"/>
      <c r="O32" s="10"/>
      <c r="P32" s="12" t="str">
        <f t="shared" si="2"/>
        <v/>
      </c>
      <c r="Q32" s="12" t="str">
        <f t="shared" si="3"/>
        <v/>
      </c>
      <c r="R32" s="12" t="str">
        <f t="shared" si="4"/>
        <v/>
      </c>
      <c r="S32" s="11"/>
      <c r="T32" s="10"/>
      <c r="U32" s="10"/>
      <c r="V32" s="10"/>
      <c r="W32" s="10"/>
      <c r="X32" s="11"/>
      <c r="Y32" s="11"/>
    </row>
    <row r="33" spans="1:25" ht="48" customHeight="1" x14ac:dyDescent="0.15">
      <c r="A33" s="10" t="str">
        <f t="shared" si="0"/>
        <v/>
      </c>
      <c r="B33" s="10"/>
      <c r="C33" s="10"/>
      <c r="D33" s="10"/>
      <c r="E33" s="10"/>
      <c r="F33" s="10"/>
      <c r="G33" s="10"/>
      <c r="H33" s="10"/>
      <c r="I33" s="10"/>
      <c r="J33" s="10"/>
      <c r="K33" s="12" t="str">
        <f t="shared" si="1"/>
        <v/>
      </c>
      <c r="L33" s="11"/>
      <c r="M33" s="10"/>
      <c r="N33" s="11"/>
      <c r="O33" s="10"/>
      <c r="P33" s="12" t="str">
        <f t="shared" si="2"/>
        <v/>
      </c>
      <c r="Q33" s="12" t="str">
        <f t="shared" si="3"/>
        <v/>
      </c>
      <c r="R33" s="12" t="str">
        <f t="shared" si="4"/>
        <v/>
      </c>
      <c r="S33" s="11"/>
      <c r="T33" s="10"/>
      <c r="U33" s="10"/>
      <c r="V33" s="10"/>
      <c r="W33" s="10"/>
      <c r="X33" s="11"/>
      <c r="Y33" s="11"/>
    </row>
    <row r="34" spans="1:25" ht="48" customHeight="1" x14ac:dyDescent="0.15">
      <c r="A34" s="10" t="str">
        <f t="shared" si="0"/>
        <v/>
      </c>
      <c r="B34" s="10"/>
      <c r="C34" s="10"/>
      <c r="D34" s="10"/>
      <c r="E34" s="10"/>
      <c r="F34" s="10"/>
      <c r="G34" s="10"/>
      <c r="H34" s="10"/>
      <c r="I34" s="10"/>
      <c r="J34" s="10"/>
      <c r="K34" s="12" t="str">
        <f t="shared" si="1"/>
        <v/>
      </c>
      <c r="L34" s="11"/>
      <c r="M34" s="10"/>
      <c r="N34" s="11"/>
      <c r="O34" s="10"/>
      <c r="P34" s="12" t="str">
        <f t="shared" si="2"/>
        <v/>
      </c>
      <c r="Q34" s="12" t="str">
        <f t="shared" si="3"/>
        <v/>
      </c>
      <c r="R34" s="12" t="str">
        <f t="shared" si="4"/>
        <v/>
      </c>
      <c r="S34" s="11"/>
      <c r="T34" s="10"/>
      <c r="U34" s="10"/>
      <c r="V34" s="10"/>
      <c r="W34" s="10"/>
      <c r="X34" s="11"/>
      <c r="Y34" s="11"/>
    </row>
    <row r="35" spans="1:25" ht="48" customHeight="1" x14ac:dyDescent="0.15">
      <c r="A35" s="10" t="str">
        <f t="shared" si="0"/>
        <v/>
      </c>
      <c r="B35" s="10"/>
      <c r="C35" s="10"/>
      <c r="D35" s="10"/>
      <c r="E35" s="10"/>
      <c r="F35" s="10"/>
      <c r="G35" s="10"/>
      <c r="H35" s="10"/>
      <c r="I35" s="10"/>
      <c r="J35" s="10"/>
      <c r="K35" s="12" t="str">
        <f t="shared" si="1"/>
        <v/>
      </c>
      <c r="L35" s="11"/>
      <c r="M35" s="10"/>
      <c r="N35" s="11"/>
      <c r="O35" s="10"/>
      <c r="P35" s="12" t="str">
        <f t="shared" si="2"/>
        <v/>
      </c>
      <c r="Q35" s="12" t="str">
        <f t="shared" si="3"/>
        <v/>
      </c>
      <c r="R35" s="12" t="str">
        <f t="shared" si="4"/>
        <v/>
      </c>
      <c r="S35" s="11"/>
      <c r="T35" s="10"/>
      <c r="U35" s="10"/>
      <c r="V35" s="10"/>
      <c r="W35" s="10"/>
      <c r="X35" s="11"/>
      <c r="Y35" s="11"/>
    </row>
    <row r="36" spans="1:25" ht="48" customHeight="1" x14ac:dyDescent="0.15">
      <c r="A36" s="10" t="str">
        <f t="shared" ref="A36:A56" si="5">IF($D36="","",ROW()-3)</f>
        <v/>
      </c>
      <c r="B36" s="10"/>
      <c r="C36" s="10"/>
      <c r="D36" s="10"/>
      <c r="E36" s="10"/>
      <c r="F36" s="10"/>
      <c r="G36" s="10"/>
      <c r="H36" s="10"/>
      <c r="I36" s="10"/>
      <c r="J36" s="10"/>
      <c r="K36" s="12" t="str">
        <f t="shared" ref="K36:K56" si="6">IF($D36="","",IF(COUNT($E36:$J36)=6,SUM($E36:$J36),""))</f>
        <v/>
      </c>
      <c r="L36" s="11"/>
      <c r="M36" s="10"/>
      <c r="N36" s="11"/>
      <c r="O36" s="10"/>
      <c r="P36" s="12" t="str">
        <f t="shared" ref="P36:P56" si="7">IF($D36="","",IF(AND(ISNUMBER($M36),ISNUMBER($O36)),$M36+$O36,""))</f>
        <v/>
      </c>
      <c r="Q36" s="12" t="str">
        <f t="shared" ref="Q36:Q67" si="8">IF($D36="","",IF(AND(ISNUMBER(K36),ISNUMBER(P36)),K36+P36,""))</f>
        <v/>
      </c>
      <c r="R36" s="12" t="str">
        <f t="shared" ref="R36:R67" si="9">IF(OR($D36="",K36=""),"",IF(AND(Q36&gt;=112,K36&gt;=102,P36&gt;=10),"S级·标杆IP",IF(AND(Q36&gt;=88,K36&gt;=80,P36&gt;=4),"A级·主力IP",IF(AND(Q36&gt;=65,K36&gt;=60),"B级·储备IP","暂不推荐·幕后支持"))))</f>
        <v/>
      </c>
      <c r="S36" s="11"/>
      <c r="T36" s="10"/>
      <c r="U36" s="10"/>
      <c r="V36" s="10"/>
      <c r="W36" s="10"/>
      <c r="X36" s="11"/>
      <c r="Y36" s="11"/>
    </row>
    <row r="37" spans="1:25" ht="48" customHeight="1" x14ac:dyDescent="0.15">
      <c r="A37" s="10" t="str">
        <f t="shared" si="5"/>
        <v/>
      </c>
      <c r="B37" s="10"/>
      <c r="C37" s="10"/>
      <c r="D37" s="10"/>
      <c r="E37" s="10"/>
      <c r="F37" s="10"/>
      <c r="G37" s="10"/>
      <c r="H37" s="10"/>
      <c r="I37" s="10"/>
      <c r="J37" s="10"/>
      <c r="K37" s="12" t="str">
        <f t="shared" si="6"/>
        <v/>
      </c>
      <c r="L37" s="11"/>
      <c r="M37" s="10"/>
      <c r="N37" s="11"/>
      <c r="O37" s="10"/>
      <c r="P37" s="12" t="str">
        <f t="shared" si="7"/>
        <v/>
      </c>
      <c r="Q37" s="12" t="str">
        <f t="shared" si="8"/>
        <v/>
      </c>
      <c r="R37" s="12" t="str">
        <f t="shared" si="9"/>
        <v/>
      </c>
      <c r="S37" s="11"/>
      <c r="T37" s="10"/>
      <c r="U37" s="10"/>
      <c r="V37" s="10"/>
      <c r="W37" s="10"/>
      <c r="X37" s="11"/>
      <c r="Y37" s="11"/>
    </row>
    <row r="38" spans="1:25" ht="48" customHeight="1" x14ac:dyDescent="0.15">
      <c r="A38" s="10" t="str">
        <f t="shared" si="5"/>
        <v/>
      </c>
      <c r="B38" s="10"/>
      <c r="C38" s="10"/>
      <c r="D38" s="10"/>
      <c r="E38" s="10"/>
      <c r="F38" s="10"/>
      <c r="G38" s="10"/>
      <c r="H38" s="10"/>
      <c r="I38" s="10"/>
      <c r="J38" s="10"/>
      <c r="K38" s="12" t="str">
        <f t="shared" si="6"/>
        <v/>
      </c>
      <c r="L38" s="11"/>
      <c r="M38" s="10"/>
      <c r="N38" s="11"/>
      <c r="O38" s="10"/>
      <c r="P38" s="12" t="str">
        <f t="shared" si="7"/>
        <v/>
      </c>
      <c r="Q38" s="12" t="str">
        <f t="shared" si="8"/>
        <v/>
      </c>
      <c r="R38" s="12" t="str">
        <f t="shared" si="9"/>
        <v/>
      </c>
      <c r="S38" s="11"/>
      <c r="T38" s="10"/>
      <c r="U38" s="10"/>
      <c r="V38" s="10"/>
      <c r="W38" s="10"/>
      <c r="X38" s="11"/>
      <c r="Y38" s="11"/>
    </row>
    <row r="39" spans="1:25" ht="48" customHeight="1" x14ac:dyDescent="0.15">
      <c r="A39" s="10" t="str">
        <f t="shared" si="5"/>
        <v/>
      </c>
      <c r="B39" s="10"/>
      <c r="C39" s="10"/>
      <c r="D39" s="10"/>
      <c r="E39" s="10"/>
      <c r="F39" s="10"/>
      <c r="G39" s="10"/>
      <c r="H39" s="10"/>
      <c r="I39" s="10"/>
      <c r="J39" s="10"/>
      <c r="K39" s="12" t="str">
        <f t="shared" si="6"/>
        <v/>
      </c>
      <c r="L39" s="11"/>
      <c r="M39" s="10"/>
      <c r="N39" s="11"/>
      <c r="O39" s="10"/>
      <c r="P39" s="12" t="str">
        <f t="shared" si="7"/>
        <v/>
      </c>
      <c r="Q39" s="12" t="str">
        <f t="shared" si="8"/>
        <v/>
      </c>
      <c r="R39" s="12" t="str">
        <f t="shared" si="9"/>
        <v/>
      </c>
      <c r="S39" s="11"/>
      <c r="T39" s="10"/>
      <c r="U39" s="10"/>
      <c r="V39" s="10"/>
      <c r="W39" s="10"/>
      <c r="X39" s="11"/>
      <c r="Y39" s="11"/>
    </row>
    <row r="40" spans="1:25" ht="48" customHeight="1" x14ac:dyDescent="0.15">
      <c r="A40" s="10" t="str">
        <f t="shared" si="5"/>
        <v/>
      </c>
      <c r="B40" s="10"/>
      <c r="C40" s="10"/>
      <c r="D40" s="10"/>
      <c r="E40" s="10"/>
      <c r="F40" s="10"/>
      <c r="G40" s="10"/>
      <c r="H40" s="10"/>
      <c r="I40" s="10"/>
      <c r="J40" s="10"/>
      <c r="K40" s="12" t="str">
        <f t="shared" si="6"/>
        <v/>
      </c>
      <c r="L40" s="11"/>
      <c r="M40" s="10"/>
      <c r="N40" s="11"/>
      <c r="O40" s="10"/>
      <c r="P40" s="12" t="str">
        <f t="shared" si="7"/>
        <v/>
      </c>
      <c r="Q40" s="12" t="str">
        <f t="shared" si="8"/>
        <v/>
      </c>
      <c r="R40" s="12" t="str">
        <f t="shared" si="9"/>
        <v/>
      </c>
      <c r="S40" s="11"/>
      <c r="T40" s="10"/>
      <c r="U40" s="10"/>
      <c r="V40" s="10"/>
      <c r="W40" s="10"/>
      <c r="X40" s="11"/>
      <c r="Y40" s="11"/>
    </row>
    <row r="41" spans="1:25" ht="48" customHeight="1" x14ac:dyDescent="0.15">
      <c r="A41" s="10" t="str">
        <f t="shared" si="5"/>
        <v/>
      </c>
      <c r="B41" s="10"/>
      <c r="C41" s="10"/>
      <c r="D41" s="10"/>
      <c r="E41" s="10"/>
      <c r="F41" s="10"/>
      <c r="G41" s="10"/>
      <c r="H41" s="10"/>
      <c r="I41" s="10"/>
      <c r="J41" s="10"/>
      <c r="K41" s="12" t="str">
        <f t="shared" si="6"/>
        <v/>
      </c>
      <c r="L41" s="11"/>
      <c r="M41" s="10"/>
      <c r="N41" s="11"/>
      <c r="O41" s="10"/>
      <c r="P41" s="12" t="str">
        <f t="shared" si="7"/>
        <v/>
      </c>
      <c r="Q41" s="12" t="str">
        <f t="shared" si="8"/>
        <v/>
      </c>
      <c r="R41" s="12" t="str">
        <f t="shared" si="9"/>
        <v/>
      </c>
      <c r="S41" s="11"/>
      <c r="T41" s="10"/>
      <c r="U41" s="10"/>
      <c r="V41" s="10"/>
      <c r="W41" s="10"/>
      <c r="X41" s="11"/>
      <c r="Y41" s="11"/>
    </row>
    <row r="42" spans="1:25" ht="48" customHeight="1" x14ac:dyDescent="0.15">
      <c r="A42" s="10" t="str">
        <f t="shared" si="5"/>
        <v/>
      </c>
      <c r="B42" s="10"/>
      <c r="C42" s="10"/>
      <c r="D42" s="10"/>
      <c r="E42" s="10"/>
      <c r="F42" s="10"/>
      <c r="G42" s="10"/>
      <c r="H42" s="10"/>
      <c r="I42" s="10"/>
      <c r="J42" s="10"/>
      <c r="K42" s="12" t="str">
        <f t="shared" si="6"/>
        <v/>
      </c>
      <c r="L42" s="11"/>
      <c r="M42" s="10"/>
      <c r="N42" s="11"/>
      <c r="O42" s="10"/>
      <c r="P42" s="12" t="str">
        <f t="shared" si="7"/>
        <v/>
      </c>
      <c r="Q42" s="12" t="str">
        <f t="shared" si="8"/>
        <v/>
      </c>
      <c r="R42" s="12" t="str">
        <f t="shared" si="9"/>
        <v/>
      </c>
      <c r="S42" s="11"/>
      <c r="T42" s="10"/>
      <c r="U42" s="10"/>
      <c r="V42" s="10"/>
      <c r="W42" s="10"/>
      <c r="X42" s="11"/>
      <c r="Y42" s="11"/>
    </row>
    <row r="43" spans="1:25" ht="48" customHeight="1" x14ac:dyDescent="0.15">
      <c r="A43" s="10" t="str">
        <f t="shared" si="5"/>
        <v/>
      </c>
      <c r="B43" s="10"/>
      <c r="C43" s="10"/>
      <c r="D43" s="10"/>
      <c r="E43" s="10"/>
      <c r="F43" s="10"/>
      <c r="G43" s="10"/>
      <c r="H43" s="10"/>
      <c r="I43" s="10"/>
      <c r="J43" s="10"/>
      <c r="K43" s="12" t="str">
        <f t="shared" si="6"/>
        <v/>
      </c>
      <c r="L43" s="11"/>
      <c r="M43" s="10"/>
      <c r="N43" s="11"/>
      <c r="O43" s="10"/>
      <c r="P43" s="12" t="str">
        <f t="shared" si="7"/>
        <v/>
      </c>
      <c r="Q43" s="12" t="str">
        <f t="shared" si="8"/>
        <v/>
      </c>
      <c r="R43" s="12" t="str">
        <f t="shared" si="9"/>
        <v/>
      </c>
      <c r="S43" s="11"/>
      <c r="T43" s="10"/>
      <c r="U43" s="10"/>
      <c r="V43" s="10"/>
      <c r="W43" s="10"/>
      <c r="X43" s="11"/>
      <c r="Y43" s="11"/>
    </row>
    <row r="44" spans="1:25" ht="48" customHeight="1" x14ac:dyDescent="0.15">
      <c r="A44" s="10" t="str">
        <f t="shared" si="5"/>
        <v/>
      </c>
      <c r="B44" s="10"/>
      <c r="C44" s="10"/>
      <c r="D44" s="10"/>
      <c r="E44" s="10"/>
      <c r="F44" s="10"/>
      <c r="G44" s="10"/>
      <c r="H44" s="10"/>
      <c r="I44" s="10"/>
      <c r="J44" s="10"/>
      <c r="K44" s="12" t="str">
        <f t="shared" si="6"/>
        <v/>
      </c>
      <c r="L44" s="11"/>
      <c r="M44" s="10"/>
      <c r="N44" s="11"/>
      <c r="O44" s="10"/>
      <c r="P44" s="12" t="str">
        <f t="shared" si="7"/>
        <v/>
      </c>
      <c r="Q44" s="12" t="str">
        <f t="shared" si="8"/>
        <v/>
      </c>
      <c r="R44" s="12" t="str">
        <f t="shared" si="9"/>
        <v/>
      </c>
      <c r="S44" s="11"/>
      <c r="T44" s="10"/>
      <c r="U44" s="10"/>
      <c r="V44" s="10"/>
      <c r="W44" s="10"/>
      <c r="X44" s="11"/>
      <c r="Y44" s="11"/>
    </row>
    <row r="45" spans="1:25" ht="48" customHeight="1" x14ac:dyDescent="0.15">
      <c r="A45" s="10" t="str">
        <f t="shared" si="5"/>
        <v/>
      </c>
      <c r="B45" s="10"/>
      <c r="C45" s="10"/>
      <c r="D45" s="10"/>
      <c r="E45" s="10"/>
      <c r="F45" s="10"/>
      <c r="G45" s="10"/>
      <c r="H45" s="10"/>
      <c r="I45" s="10"/>
      <c r="J45" s="10"/>
      <c r="K45" s="12" t="str">
        <f t="shared" si="6"/>
        <v/>
      </c>
      <c r="L45" s="11"/>
      <c r="M45" s="10"/>
      <c r="N45" s="11"/>
      <c r="O45" s="10"/>
      <c r="P45" s="12" t="str">
        <f t="shared" si="7"/>
        <v/>
      </c>
      <c r="Q45" s="12" t="str">
        <f t="shared" si="8"/>
        <v/>
      </c>
      <c r="R45" s="12" t="str">
        <f t="shared" si="9"/>
        <v/>
      </c>
      <c r="S45" s="11"/>
      <c r="T45" s="10"/>
      <c r="U45" s="10"/>
      <c r="V45" s="10"/>
      <c r="W45" s="10"/>
      <c r="X45" s="11"/>
      <c r="Y45" s="11"/>
    </row>
    <row r="46" spans="1:25" ht="48" customHeight="1" x14ac:dyDescent="0.15">
      <c r="A46" s="10" t="str">
        <f t="shared" si="5"/>
        <v/>
      </c>
      <c r="B46" s="10"/>
      <c r="C46" s="10"/>
      <c r="D46" s="10"/>
      <c r="E46" s="10"/>
      <c r="F46" s="10"/>
      <c r="G46" s="10"/>
      <c r="H46" s="10"/>
      <c r="I46" s="10"/>
      <c r="J46" s="10"/>
      <c r="K46" s="12" t="str">
        <f t="shared" si="6"/>
        <v/>
      </c>
      <c r="L46" s="11"/>
      <c r="M46" s="10"/>
      <c r="N46" s="11"/>
      <c r="O46" s="10"/>
      <c r="P46" s="12" t="str">
        <f t="shared" si="7"/>
        <v/>
      </c>
      <c r="Q46" s="12" t="str">
        <f t="shared" si="8"/>
        <v/>
      </c>
      <c r="R46" s="12" t="str">
        <f t="shared" si="9"/>
        <v/>
      </c>
      <c r="S46" s="11"/>
      <c r="T46" s="10"/>
      <c r="U46" s="10"/>
      <c r="V46" s="10"/>
      <c r="W46" s="10"/>
      <c r="X46" s="11"/>
      <c r="Y46" s="11"/>
    </row>
    <row r="47" spans="1:25" ht="48" customHeight="1" x14ac:dyDescent="0.15">
      <c r="A47" s="10" t="str">
        <f t="shared" si="5"/>
        <v/>
      </c>
      <c r="B47" s="10"/>
      <c r="C47" s="10"/>
      <c r="D47" s="10"/>
      <c r="E47" s="10"/>
      <c r="F47" s="10"/>
      <c r="G47" s="10"/>
      <c r="H47" s="10"/>
      <c r="I47" s="10"/>
      <c r="J47" s="10"/>
      <c r="K47" s="12" t="str">
        <f t="shared" si="6"/>
        <v/>
      </c>
      <c r="L47" s="11"/>
      <c r="M47" s="10"/>
      <c r="N47" s="11"/>
      <c r="O47" s="10"/>
      <c r="P47" s="12" t="str">
        <f t="shared" si="7"/>
        <v/>
      </c>
      <c r="Q47" s="12" t="str">
        <f t="shared" si="8"/>
        <v/>
      </c>
      <c r="R47" s="12" t="str">
        <f t="shared" si="9"/>
        <v/>
      </c>
      <c r="S47" s="11"/>
      <c r="T47" s="10"/>
      <c r="U47" s="10"/>
      <c r="V47" s="10"/>
      <c r="W47" s="10"/>
      <c r="X47" s="11"/>
      <c r="Y47" s="11"/>
    </row>
    <row r="48" spans="1:25" ht="48" customHeight="1" x14ac:dyDescent="0.15">
      <c r="A48" s="10" t="str">
        <f t="shared" si="5"/>
        <v/>
      </c>
      <c r="B48" s="10"/>
      <c r="C48" s="10"/>
      <c r="D48" s="10"/>
      <c r="E48" s="10"/>
      <c r="F48" s="10"/>
      <c r="G48" s="10"/>
      <c r="H48" s="10"/>
      <c r="I48" s="10"/>
      <c r="J48" s="10"/>
      <c r="K48" s="12" t="str">
        <f t="shared" si="6"/>
        <v/>
      </c>
      <c r="L48" s="11"/>
      <c r="M48" s="10"/>
      <c r="N48" s="11"/>
      <c r="O48" s="10"/>
      <c r="P48" s="12" t="str">
        <f t="shared" si="7"/>
        <v/>
      </c>
      <c r="Q48" s="12" t="str">
        <f t="shared" si="8"/>
        <v/>
      </c>
      <c r="R48" s="12" t="str">
        <f t="shared" si="9"/>
        <v/>
      </c>
      <c r="S48" s="11"/>
      <c r="T48" s="10"/>
      <c r="U48" s="10"/>
      <c r="V48" s="10"/>
      <c r="W48" s="10"/>
      <c r="X48" s="11"/>
      <c r="Y48" s="11"/>
    </row>
    <row r="49" spans="1:25" ht="48" customHeight="1" x14ac:dyDescent="0.15">
      <c r="A49" s="10" t="str">
        <f t="shared" si="5"/>
        <v/>
      </c>
      <c r="B49" s="10"/>
      <c r="C49" s="10"/>
      <c r="D49" s="10"/>
      <c r="E49" s="10"/>
      <c r="F49" s="10"/>
      <c r="G49" s="10"/>
      <c r="H49" s="10"/>
      <c r="I49" s="10"/>
      <c r="J49" s="10"/>
      <c r="K49" s="12" t="str">
        <f t="shared" si="6"/>
        <v/>
      </c>
      <c r="L49" s="11"/>
      <c r="M49" s="10"/>
      <c r="N49" s="11"/>
      <c r="O49" s="10"/>
      <c r="P49" s="12" t="str">
        <f t="shared" si="7"/>
        <v/>
      </c>
      <c r="Q49" s="12" t="str">
        <f t="shared" si="8"/>
        <v/>
      </c>
      <c r="R49" s="12" t="str">
        <f t="shared" si="9"/>
        <v/>
      </c>
      <c r="S49" s="11"/>
      <c r="T49" s="10"/>
      <c r="U49" s="10"/>
      <c r="V49" s="10"/>
      <c r="W49" s="10"/>
      <c r="X49" s="11"/>
      <c r="Y49" s="11"/>
    </row>
    <row r="50" spans="1:25" ht="48" customHeight="1" x14ac:dyDescent="0.15">
      <c r="A50" s="10" t="str">
        <f t="shared" si="5"/>
        <v/>
      </c>
      <c r="B50" s="10"/>
      <c r="C50" s="10"/>
      <c r="D50" s="10"/>
      <c r="E50" s="10"/>
      <c r="F50" s="10"/>
      <c r="G50" s="10"/>
      <c r="H50" s="10"/>
      <c r="I50" s="10"/>
      <c r="J50" s="10"/>
      <c r="K50" s="12" t="str">
        <f t="shared" si="6"/>
        <v/>
      </c>
      <c r="L50" s="11"/>
      <c r="M50" s="10"/>
      <c r="N50" s="11"/>
      <c r="O50" s="10"/>
      <c r="P50" s="12" t="str">
        <f t="shared" si="7"/>
        <v/>
      </c>
      <c r="Q50" s="12" t="str">
        <f t="shared" si="8"/>
        <v/>
      </c>
      <c r="R50" s="12" t="str">
        <f t="shared" si="9"/>
        <v/>
      </c>
      <c r="S50" s="11"/>
      <c r="T50" s="10"/>
      <c r="U50" s="10"/>
      <c r="V50" s="10"/>
      <c r="W50" s="10"/>
      <c r="X50" s="11"/>
      <c r="Y50" s="11"/>
    </row>
    <row r="51" spans="1:25" ht="48" customHeight="1" x14ac:dyDescent="0.15">
      <c r="A51" s="10" t="str">
        <f t="shared" si="5"/>
        <v/>
      </c>
      <c r="B51" s="10"/>
      <c r="C51" s="10"/>
      <c r="D51" s="10"/>
      <c r="E51" s="10"/>
      <c r="F51" s="10"/>
      <c r="G51" s="10"/>
      <c r="H51" s="10"/>
      <c r="I51" s="10"/>
      <c r="J51" s="10"/>
      <c r="K51" s="12" t="str">
        <f t="shared" si="6"/>
        <v/>
      </c>
      <c r="L51" s="11"/>
      <c r="M51" s="10"/>
      <c r="N51" s="11"/>
      <c r="O51" s="10"/>
      <c r="P51" s="12" t="str">
        <f t="shared" si="7"/>
        <v/>
      </c>
      <c r="Q51" s="12" t="str">
        <f t="shared" si="8"/>
        <v/>
      </c>
      <c r="R51" s="12" t="str">
        <f t="shared" si="9"/>
        <v/>
      </c>
      <c r="S51" s="11"/>
      <c r="T51" s="10"/>
      <c r="U51" s="10"/>
      <c r="V51" s="10"/>
      <c r="W51" s="10"/>
      <c r="X51" s="11"/>
      <c r="Y51" s="11"/>
    </row>
    <row r="52" spans="1:25" ht="48" customHeight="1" x14ac:dyDescent="0.15">
      <c r="A52" s="10" t="str">
        <f t="shared" si="5"/>
        <v/>
      </c>
      <c r="B52" s="10"/>
      <c r="C52" s="10"/>
      <c r="D52" s="10"/>
      <c r="E52" s="10"/>
      <c r="F52" s="10"/>
      <c r="G52" s="10"/>
      <c r="H52" s="10"/>
      <c r="I52" s="10"/>
      <c r="J52" s="10"/>
      <c r="K52" s="12" t="str">
        <f t="shared" si="6"/>
        <v/>
      </c>
      <c r="L52" s="11"/>
      <c r="M52" s="10"/>
      <c r="N52" s="11"/>
      <c r="O52" s="10"/>
      <c r="P52" s="12" t="str">
        <f t="shared" si="7"/>
        <v/>
      </c>
      <c r="Q52" s="12" t="str">
        <f t="shared" si="8"/>
        <v/>
      </c>
      <c r="R52" s="12" t="str">
        <f t="shared" si="9"/>
        <v/>
      </c>
      <c r="S52" s="11"/>
      <c r="T52" s="10"/>
      <c r="U52" s="10"/>
      <c r="V52" s="10"/>
      <c r="W52" s="10"/>
      <c r="X52" s="11"/>
      <c r="Y52" s="11"/>
    </row>
    <row r="53" spans="1:25" ht="48" customHeight="1" x14ac:dyDescent="0.15">
      <c r="A53" s="10" t="str">
        <f t="shared" si="5"/>
        <v/>
      </c>
      <c r="B53" s="10"/>
      <c r="C53" s="10"/>
      <c r="D53" s="10"/>
      <c r="E53" s="10"/>
      <c r="F53" s="10"/>
      <c r="G53" s="10"/>
      <c r="H53" s="10"/>
      <c r="I53" s="10"/>
      <c r="J53" s="10"/>
      <c r="K53" s="12" t="str">
        <f t="shared" si="6"/>
        <v/>
      </c>
      <c r="L53" s="11"/>
      <c r="M53" s="10"/>
      <c r="N53" s="11"/>
      <c r="O53" s="10"/>
      <c r="P53" s="12" t="str">
        <f t="shared" si="7"/>
        <v/>
      </c>
      <c r="Q53" s="12" t="str">
        <f t="shared" si="8"/>
        <v/>
      </c>
      <c r="R53" s="12" t="str">
        <f t="shared" si="9"/>
        <v/>
      </c>
      <c r="S53" s="11"/>
      <c r="T53" s="10"/>
      <c r="U53" s="10"/>
      <c r="V53" s="10"/>
      <c r="W53" s="10"/>
      <c r="X53" s="11"/>
      <c r="Y53" s="11"/>
    </row>
    <row r="54" spans="1:25" ht="48" customHeight="1" x14ac:dyDescent="0.15">
      <c r="A54" s="10" t="str">
        <f t="shared" si="5"/>
        <v/>
      </c>
      <c r="B54" s="10"/>
      <c r="C54" s="10"/>
      <c r="D54" s="10"/>
      <c r="E54" s="10"/>
      <c r="F54" s="10"/>
      <c r="G54" s="10"/>
      <c r="H54" s="10"/>
      <c r="I54" s="10"/>
      <c r="J54" s="10"/>
      <c r="K54" s="12" t="str">
        <f t="shared" si="6"/>
        <v/>
      </c>
      <c r="L54" s="11"/>
      <c r="M54" s="10"/>
      <c r="N54" s="11"/>
      <c r="O54" s="10"/>
      <c r="P54" s="12" t="str">
        <f t="shared" si="7"/>
        <v/>
      </c>
      <c r="Q54" s="12" t="str">
        <f t="shared" si="8"/>
        <v/>
      </c>
      <c r="R54" s="12" t="str">
        <f t="shared" si="9"/>
        <v/>
      </c>
      <c r="S54" s="11"/>
      <c r="T54" s="10"/>
      <c r="U54" s="10"/>
      <c r="V54" s="10"/>
      <c r="W54" s="10"/>
      <c r="X54" s="11"/>
      <c r="Y54" s="11"/>
    </row>
    <row r="55" spans="1:25" ht="48" customHeight="1" x14ac:dyDescent="0.15">
      <c r="A55" s="10" t="str">
        <f t="shared" si="5"/>
        <v/>
      </c>
      <c r="B55" s="10"/>
      <c r="C55" s="10"/>
      <c r="D55" s="10"/>
      <c r="E55" s="10"/>
      <c r="F55" s="10"/>
      <c r="G55" s="10"/>
      <c r="H55" s="10"/>
      <c r="I55" s="10"/>
      <c r="J55" s="10"/>
      <c r="K55" s="12" t="str">
        <f t="shared" si="6"/>
        <v/>
      </c>
      <c r="L55" s="11"/>
      <c r="M55" s="10"/>
      <c r="N55" s="11"/>
      <c r="O55" s="10"/>
      <c r="P55" s="12" t="str">
        <f t="shared" si="7"/>
        <v/>
      </c>
      <c r="Q55" s="12" t="str">
        <f t="shared" si="8"/>
        <v/>
      </c>
      <c r="R55" s="12" t="str">
        <f t="shared" si="9"/>
        <v/>
      </c>
      <c r="S55" s="11"/>
      <c r="T55" s="10"/>
      <c r="U55" s="10"/>
      <c r="V55" s="10"/>
      <c r="W55" s="10"/>
      <c r="X55" s="11"/>
      <c r="Y55" s="11"/>
    </row>
    <row r="56" spans="1:25" ht="48" customHeight="1" x14ac:dyDescent="0.15">
      <c r="A56" s="10" t="str">
        <f t="shared" si="5"/>
        <v/>
      </c>
      <c r="B56" s="10"/>
      <c r="C56" s="10"/>
      <c r="D56" s="10"/>
      <c r="E56" s="10"/>
      <c r="F56" s="10"/>
      <c r="G56" s="10"/>
      <c r="H56" s="10"/>
      <c r="I56" s="10"/>
      <c r="J56" s="10"/>
      <c r="K56" s="12" t="str">
        <f t="shared" si="6"/>
        <v/>
      </c>
      <c r="L56" s="11"/>
      <c r="M56" s="10"/>
      <c r="N56" s="11"/>
      <c r="O56" s="10"/>
      <c r="P56" s="12" t="str">
        <f t="shared" si="7"/>
        <v/>
      </c>
      <c r="Q56" s="12" t="str">
        <f t="shared" si="8"/>
        <v/>
      </c>
      <c r="R56" s="12" t="str">
        <f t="shared" si="9"/>
        <v/>
      </c>
      <c r="S56" s="11"/>
      <c r="T56" s="10"/>
      <c r="U56" s="10"/>
      <c r="V56" s="10"/>
      <c r="W56" s="10"/>
      <c r="X56" s="11"/>
      <c r="Y56" s="11"/>
    </row>
  </sheetData>
  <autoFilter ref="A3:Y56" xr:uid="{00000000-0009-0000-0000-000002000000}"/>
  <mergeCells count="7">
    <mergeCell ref="S2:X2"/>
    <mergeCell ref="L2:P2"/>
    <mergeCell ref="Q2:R2"/>
    <mergeCell ref="A1:Y1"/>
    <mergeCell ref="A2:D2"/>
    <mergeCell ref="E2:K2"/>
    <mergeCell ref="Y2"/>
  </mergeCells>
  <phoneticPr fontId="14" type="noConversion"/>
  <conditionalFormatting sqref="Q4:Q56">
    <cfRule type="colorScale" priority="5">
      <colorScale>
        <cfvo type="num" val="60"/>
        <cfvo type="num" val="88"/>
        <cfvo type="num" val="112"/>
        <color rgb="FFF8D7DA"/>
        <color rgb="FFFFF3E0"/>
        <color rgb="FFFDF6E8"/>
      </colorScale>
    </cfRule>
  </conditionalFormatting>
  <conditionalFormatting sqref="R4:R56">
    <cfRule type="expression" dxfId="3" priority="1">
      <formula>EXACT($R4,"S级·标杆IP")</formula>
    </cfRule>
    <cfRule type="expression" dxfId="2" priority="2">
      <formula>EXACT($R4,"A级·主力IP")</formula>
    </cfRule>
    <cfRule type="expression" dxfId="1" priority="3">
      <formula>EXACT($R4,"B级·储备IP")</formula>
    </cfRule>
    <cfRule type="expression" dxfId="0" priority="4">
      <formula>EXACT($R4,"暂不推荐·幕后支持")</formula>
    </cfRule>
  </conditionalFormatting>
  <dataValidations count="4">
    <dataValidation type="whole" allowBlank="1" errorTitle="录入校验" error="请输入允许范围内的值" sqref="M4:M56 O4:O56" xr:uid="{00000000-0002-0000-0200-000000000000}">
      <formula1>0</formula1>
      <formula2>10</formula2>
    </dataValidation>
    <dataValidation type="whole" allowBlank="1" errorTitle="录入校验" error="请输入允许范围内的值" sqref="E4:E56 F4:F56" xr:uid="{00000000-0002-0000-0200-000001000000}">
      <formula1>0</formula1>
      <formula2>25</formula2>
    </dataValidation>
    <dataValidation type="whole" allowBlank="1" errorTitle="录入校验" error="请输入允许范围内的值" sqref="G4:G56 H4:H56 J4:J56" xr:uid="{00000000-0002-0000-0200-000002000000}">
      <formula1>0</formula1>
      <formula2>20</formula2>
    </dataValidation>
    <dataValidation type="whole" allowBlank="1" errorTitle="录入校验" error="请输入允许范围内的值" sqref="I4:I56" xr:uid="{00000000-0002-0000-0200-000003000000}">
      <formula1>0</formula1>
      <formula2>15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showGridLines="0" workbookViewId="0">
      <selection sqref="A1:F1"/>
    </sheetView>
  </sheetViews>
  <sheetFormatPr defaultRowHeight="13.5" x14ac:dyDescent="0.15"/>
  <cols>
    <col min="1" max="1" width="8" customWidth="1"/>
    <col min="2" max="2" width="26" customWidth="1"/>
    <col min="3" max="3" width="10" customWidth="1"/>
    <col min="4" max="4" width="66" customWidth="1"/>
    <col min="5" max="5" width="12" customWidth="1"/>
    <col min="6" max="6" width="30" customWidth="1"/>
  </cols>
  <sheetData>
    <row r="1" spans="1:6" ht="27.95" customHeight="1" x14ac:dyDescent="0.15">
      <c r="A1" s="23" t="s">
        <v>159</v>
      </c>
      <c r="B1" s="17"/>
      <c r="C1" s="17"/>
      <c r="D1" s="17"/>
      <c r="E1" s="17"/>
      <c r="F1" s="17"/>
    </row>
    <row r="2" spans="1:6" ht="21.95" customHeight="1" x14ac:dyDescent="0.15">
      <c r="A2" s="3" t="s">
        <v>160</v>
      </c>
      <c r="B2" s="3" t="s">
        <v>161</v>
      </c>
      <c r="C2" s="3" t="s">
        <v>162</v>
      </c>
      <c r="D2" s="3" t="s">
        <v>163</v>
      </c>
      <c r="E2" s="3" t="s">
        <v>158</v>
      </c>
      <c r="F2" s="3" t="s">
        <v>164</v>
      </c>
    </row>
    <row r="3" spans="1:6" ht="30" customHeight="1" x14ac:dyDescent="0.15">
      <c r="A3" s="14" t="s">
        <v>165</v>
      </c>
      <c r="B3" s="24" t="s">
        <v>166</v>
      </c>
      <c r="C3" s="14" t="s">
        <v>167</v>
      </c>
      <c r="D3" s="2" t="s">
        <v>168</v>
      </c>
      <c r="E3" s="14">
        <v>5</v>
      </c>
      <c r="F3" s="2" t="s">
        <v>169</v>
      </c>
    </row>
    <row r="4" spans="1:6" ht="30" customHeight="1" x14ac:dyDescent="0.15">
      <c r="A4" s="14" t="s">
        <v>170</v>
      </c>
      <c r="B4" s="25"/>
      <c r="C4" s="14" t="s">
        <v>167</v>
      </c>
      <c r="D4" s="2" t="s">
        <v>171</v>
      </c>
      <c r="E4" s="14">
        <v>5</v>
      </c>
      <c r="F4" s="2" t="s">
        <v>169</v>
      </c>
    </row>
    <row r="5" spans="1:6" ht="30" customHeight="1" x14ac:dyDescent="0.15">
      <c r="A5" s="14" t="s">
        <v>172</v>
      </c>
      <c r="B5" s="25"/>
      <c r="C5" s="14" t="s">
        <v>167</v>
      </c>
      <c r="D5" s="2" t="s">
        <v>173</v>
      </c>
      <c r="E5" s="14">
        <v>5</v>
      </c>
      <c r="F5" s="2" t="s">
        <v>169</v>
      </c>
    </row>
    <row r="6" spans="1:6" ht="30" customHeight="1" x14ac:dyDescent="0.15">
      <c r="A6" s="14" t="s">
        <v>174</v>
      </c>
      <c r="B6" s="25"/>
      <c r="C6" s="14" t="s">
        <v>167</v>
      </c>
      <c r="D6" s="2" t="s">
        <v>175</v>
      </c>
      <c r="E6" s="14">
        <v>5</v>
      </c>
      <c r="F6" s="2" t="s">
        <v>169</v>
      </c>
    </row>
    <row r="7" spans="1:6" ht="30" customHeight="1" x14ac:dyDescent="0.15">
      <c r="A7" s="14" t="s">
        <v>176</v>
      </c>
      <c r="B7" s="26"/>
      <c r="C7" s="14" t="s">
        <v>167</v>
      </c>
      <c r="D7" s="2" t="s">
        <v>177</v>
      </c>
      <c r="E7" s="14">
        <v>5</v>
      </c>
      <c r="F7" s="2" t="s">
        <v>169</v>
      </c>
    </row>
    <row r="8" spans="1:6" ht="30" customHeight="1" x14ac:dyDescent="0.15">
      <c r="A8" s="14" t="s">
        <v>178</v>
      </c>
      <c r="B8" s="24" t="s">
        <v>179</v>
      </c>
      <c r="C8" s="14" t="s">
        <v>167</v>
      </c>
      <c r="D8" s="2" t="s">
        <v>180</v>
      </c>
      <c r="E8" s="14">
        <v>5</v>
      </c>
      <c r="F8" s="2" t="s">
        <v>169</v>
      </c>
    </row>
    <row r="9" spans="1:6" ht="30" customHeight="1" x14ac:dyDescent="0.15">
      <c r="A9" s="14" t="s">
        <v>181</v>
      </c>
      <c r="B9" s="25"/>
      <c r="C9" s="14" t="s">
        <v>167</v>
      </c>
      <c r="D9" s="2" t="s">
        <v>182</v>
      </c>
      <c r="E9" s="14">
        <v>5</v>
      </c>
      <c r="F9" s="2" t="s">
        <v>169</v>
      </c>
    </row>
    <row r="10" spans="1:6" ht="30" customHeight="1" x14ac:dyDescent="0.15">
      <c r="A10" s="14" t="s">
        <v>183</v>
      </c>
      <c r="B10" s="25"/>
      <c r="C10" s="14" t="s">
        <v>167</v>
      </c>
      <c r="D10" s="2" t="s">
        <v>184</v>
      </c>
      <c r="E10" s="14">
        <v>5</v>
      </c>
      <c r="F10" s="2" t="s">
        <v>169</v>
      </c>
    </row>
    <row r="11" spans="1:6" ht="30" customHeight="1" x14ac:dyDescent="0.15">
      <c r="A11" s="14" t="s">
        <v>185</v>
      </c>
      <c r="B11" s="25"/>
      <c r="C11" s="14" t="s">
        <v>167</v>
      </c>
      <c r="D11" s="2" t="s">
        <v>186</v>
      </c>
      <c r="E11" s="14">
        <v>5</v>
      </c>
      <c r="F11" s="2" t="s">
        <v>169</v>
      </c>
    </row>
    <row r="12" spans="1:6" ht="30" customHeight="1" x14ac:dyDescent="0.15">
      <c r="A12" s="14" t="s">
        <v>187</v>
      </c>
      <c r="B12" s="26"/>
      <c r="C12" s="14" t="s">
        <v>167</v>
      </c>
      <c r="D12" s="2" t="s">
        <v>188</v>
      </c>
      <c r="E12" s="14">
        <v>5</v>
      </c>
      <c r="F12" s="2" t="s">
        <v>169</v>
      </c>
    </row>
    <row r="13" spans="1:6" ht="30" customHeight="1" x14ac:dyDescent="0.15">
      <c r="A13" s="14" t="s">
        <v>189</v>
      </c>
      <c r="B13" s="24" t="s">
        <v>190</v>
      </c>
      <c r="C13" s="14" t="s">
        <v>167</v>
      </c>
      <c r="D13" s="2" t="s">
        <v>191</v>
      </c>
      <c r="E13" s="14">
        <v>5</v>
      </c>
      <c r="F13" s="2" t="s">
        <v>169</v>
      </c>
    </row>
    <row r="14" spans="1:6" ht="30" customHeight="1" x14ac:dyDescent="0.15">
      <c r="A14" s="14" t="s">
        <v>192</v>
      </c>
      <c r="B14" s="25"/>
      <c r="C14" s="14" t="s">
        <v>167</v>
      </c>
      <c r="D14" s="2" t="s">
        <v>193</v>
      </c>
      <c r="E14" s="14">
        <v>5</v>
      </c>
      <c r="F14" s="2" t="s">
        <v>169</v>
      </c>
    </row>
    <row r="15" spans="1:6" ht="30" customHeight="1" x14ac:dyDescent="0.15">
      <c r="A15" s="14" t="s">
        <v>194</v>
      </c>
      <c r="B15" s="25"/>
      <c r="C15" s="14" t="s">
        <v>167</v>
      </c>
      <c r="D15" s="2" t="s">
        <v>195</v>
      </c>
      <c r="E15" s="14">
        <v>5</v>
      </c>
      <c r="F15" s="2" t="s">
        <v>169</v>
      </c>
    </row>
    <row r="16" spans="1:6" ht="30" customHeight="1" x14ac:dyDescent="0.15">
      <c r="A16" s="14" t="s">
        <v>196</v>
      </c>
      <c r="B16" s="26"/>
      <c r="C16" s="14" t="s">
        <v>167</v>
      </c>
      <c r="D16" s="2" t="s">
        <v>197</v>
      </c>
      <c r="E16" s="14">
        <v>5</v>
      </c>
      <c r="F16" s="2" t="s">
        <v>169</v>
      </c>
    </row>
    <row r="17" spans="1:6" ht="30" customHeight="1" x14ac:dyDescent="0.15">
      <c r="A17" s="14" t="s">
        <v>198</v>
      </c>
      <c r="B17" s="24" t="s">
        <v>199</v>
      </c>
      <c r="C17" s="14" t="s">
        <v>167</v>
      </c>
      <c r="D17" s="2" t="s">
        <v>200</v>
      </c>
      <c r="E17" s="14">
        <v>5</v>
      </c>
      <c r="F17" s="2" t="s">
        <v>169</v>
      </c>
    </row>
    <row r="18" spans="1:6" ht="30" customHeight="1" x14ac:dyDescent="0.15">
      <c r="A18" s="14" t="s">
        <v>201</v>
      </c>
      <c r="B18" s="25"/>
      <c r="C18" s="14" t="s">
        <v>167</v>
      </c>
      <c r="D18" s="2" t="s">
        <v>202</v>
      </c>
      <c r="E18" s="14">
        <v>5</v>
      </c>
      <c r="F18" s="2" t="s">
        <v>169</v>
      </c>
    </row>
    <row r="19" spans="1:6" ht="30" customHeight="1" x14ac:dyDescent="0.15">
      <c r="A19" s="14" t="s">
        <v>203</v>
      </c>
      <c r="B19" s="25"/>
      <c r="C19" s="14" t="s">
        <v>167</v>
      </c>
      <c r="D19" s="2" t="s">
        <v>204</v>
      </c>
      <c r="E19" s="14">
        <v>5</v>
      </c>
      <c r="F19" s="2" t="s">
        <v>169</v>
      </c>
    </row>
    <row r="20" spans="1:6" ht="30" customHeight="1" x14ac:dyDescent="0.15">
      <c r="A20" s="14" t="s">
        <v>205</v>
      </c>
      <c r="B20" s="26"/>
      <c r="C20" s="14" t="s">
        <v>167</v>
      </c>
      <c r="D20" s="2" t="s">
        <v>206</v>
      </c>
      <c r="E20" s="14">
        <v>5</v>
      </c>
      <c r="F20" s="2" t="s">
        <v>169</v>
      </c>
    </row>
    <row r="21" spans="1:6" ht="30" customHeight="1" x14ac:dyDescent="0.15">
      <c r="A21" s="14" t="s">
        <v>207</v>
      </c>
      <c r="B21" s="24" t="s">
        <v>208</v>
      </c>
      <c r="C21" s="14" t="s">
        <v>167</v>
      </c>
      <c r="D21" s="2" t="s">
        <v>209</v>
      </c>
      <c r="E21" s="14">
        <v>5</v>
      </c>
      <c r="F21" s="2" t="s">
        <v>169</v>
      </c>
    </row>
    <row r="22" spans="1:6" ht="30" customHeight="1" x14ac:dyDescent="0.15">
      <c r="A22" s="14" t="s">
        <v>210</v>
      </c>
      <c r="B22" s="25"/>
      <c r="C22" s="14" t="s">
        <v>167</v>
      </c>
      <c r="D22" s="2" t="s">
        <v>211</v>
      </c>
      <c r="E22" s="14">
        <v>5</v>
      </c>
      <c r="F22" s="2" t="s">
        <v>169</v>
      </c>
    </row>
    <row r="23" spans="1:6" ht="30" customHeight="1" x14ac:dyDescent="0.15">
      <c r="A23" s="14" t="s">
        <v>212</v>
      </c>
      <c r="B23" s="26"/>
      <c r="C23" s="14" t="s">
        <v>167</v>
      </c>
      <c r="D23" s="2" t="s">
        <v>213</v>
      </c>
      <c r="E23" s="14">
        <v>5</v>
      </c>
      <c r="F23" s="2" t="s">
        <v>169</v>
      </c>
    </row>
    <row r="24" spans="1:6" ht="30" customHeight="1" x14ac:dyDescent="0.15">
      <c r="A24" s="14" t="s">
        <v>214</v>
      </c>
      <c r="B24" s="24" t="s">
        <v>215</v>
      </c>
      <c r="C24" s="14" t="s">
        <v>167</v>
      </c>
      <c r="D24" s="2" t="s">
        <v>216</v>
      </c>
      <c r="E24" s="14">
        <v>5</v>
      </c>
      <c r="F24" s="2" t="s">
        <v>169</v>
      </c>
    </row>
    <row r="25" spans="1:6" ht="30" customHeight="1" x14ac:dyDescent="0.15">
      <c r="A25" s="14" t="s">
        <v>217</v>
      </c>
      <c r="B25" s="25"/>
      <c r="C25" s="14" t="s">
        <v>167</v>
      </c>
      <c r="D25" s="2" t="s">
        <v>218</v>
      </c>
      <c r="E25" s="14">
        <v>5</v>
      </c>
      <c r="F25" s="2" t="s">
        <v>169</v>
      </c>
    </row>
    <row r="26" spans="1:6" ht="30" customHeight="1" x14ac:dyDescent="0.15">
      <c r="A26" s="14" t="s">
        <v>219</v>
      </c>
      <c r="B26" s="25"/>
      <c r="C26" s="14" t="s">
        <v>167</v>
      </c>
      <c r="D26" s="2" t="s">
        <v>220</v>
      </c>
      <c r="E26" s="14">
        <v>5</v>
      </c>
      <c r="F26" s="2" t="s">
        <v>169</v>
      </c>
    </row>
    <row r="27" spans="1:6" ht="30" customHeight="1" x14ac:dyDescent="0.15">
      <c r="A27" s="14" t="s">
        <v>221</v>
      </c>
      <c r="B27" s="26"/>
      <c r="C27" s="14" t="s">
        <v>167</v>
      </c>
      <c r="D27" s="2" t="s">
        <v>222</v>
      </c>
      <c r="E27" s="14">
        <v>5</v>
      </c>
      <c r="F27" s="2" t="s">
        <v>169</v>
      </c>
    </row>
    <row r="28" spans="1:6" ht="56.1" customHeight="1" x14ac:dyDescent="0.15">
      <c r="A28" s="13" t="s">
        <v>223</v>
      </c>
      <c r="B28" s="13" t="s">
        <v>224</v>
      </c>
      <c r="C28" s="13" t="s">
        <v>225</v>
      </c>
      <c r="D28" s="15" t="s">
        <v>226</v>
      </c>
      <c r="E28" s="13">
        <v>10</v>
      </c>
      <c r="F28" s="15" t="s">
        <v>227</v>
      </c>
    </row>
    <row r="29" spans="1:6" ht="56.1" customHeight="1" x14ac:dyDescent="0.15">
      <c r="A29" s="13" t="s">
        <v>228</v>
      </c>
      <c r="B29" s="13" t="s">
        <v>224</v>
      </c>
      <c r="C29" s="13" t="s">
        <v>225</v>
      </c>
      <c r="D29" s="15" t="s">
        <v>229</v>
      </c>
      <c r="E29" s="13">
        <v>10</v>
      </c>
      <c r="F29" s="15" t="s">
        <v>227</v>
      </c>
    </row>
    <row r="31" spans="1:6" x14ac:dyDescent="0.15">
      <c r="A31" s="27" t="s">
        <v>230</v>
      </c>
      <c r="B31" s="17"/>
      <c r="C31" s="17"/>
      <c r="D31" s="17"/>
      <c r="E31" s="17"/>
      <c r="F31" s="17"/>
    </row>
    <row r="32" spans="1:6" ht="16.5" x14ac:dyDescent="0.15">
      <c r="A32" s="1" t="s">
        <v>28</v>
      </c>
      <c r="B32" s="1" t="s">
        <v>25</v>
      </c>
      <c r="C32" s="1" t="s">
        <v>231</v>
      </c>
      <c r="D32" s="1" t="s">
        <v>232</v>
      </c>
      <c r="E32" s="1" t="s">
        <v>233</v>
      </c>
      <c r="F32" s="1" t="s">
        <v>234</v>
      </c>
    </row>
    <row r="33" spans="1:6" ht="27.95" customHeight="1" x14ac:dyDescent="0.15">
      <c r="A33" s="4" t="s">
        <v>31</v>
      </c>
      <c r="B33" s="14" t="s">
        <v>235</v>
      </c>
      <c r="C33" s="14" t="s">
        <v>236</v>
      </c>
      <c r="D33" s="14" t="s">
        <v>237</v>
      </c>
      <c r="E33" s="2" t="s">
        <v>238</v>
      </c>
      <c r="F33" s="2" t="s">
        <v>239</v>
      </c>
    </row>
    <row r="34" spans="1:6" ht="27.95" customHeight="1" x14ac:dyDescent="0.15">
      <c r="A34" s="5" t="s">
        <v>33</v>
      </c>
      <c r="B34" s="14" t="s">
        <v>240</v>
      </c>
      <c r="C34" s="14" t="s">
        <v>241</v>
      </c>
      <c r="D34" s="14" t="s">
        <v>242</v>
      </c>
      <c r="E34" s="2" t="s">
        <v>243</v>
      </c>
      <c r="F34" s="2" t="s">
        <v>244</v>
      </c>
    </row>
    <row r="35" spans="1:6" ht="27.95" customHeight="1" x14ac:dyDescent="0.15">
      <c r="A35" s="6" t="s">
        <v>35</v>
      </c>
      <c r="B35" s="14" t="s">
        <v>245</v>
      </c>
      <c r="C35" s="14" t="s">
        <v>246</v>
      </c>
      <c r="D35" s="14" t="s">
        <v>247</v>
      </c>
      <c r="E35" s="2" t="s">
        <v>248</v>
      </c>
      <c r="F35" s="2" t="s">
        <v>249</v>
      </c>
    </row>
    <row r="36" spans="1:6" ht="27.95" customHeight="1" x14ac:dyDescent="0.15">
      <c r="A36" s="7" t="s">
        <v>37</v>
      </c>
      <c r="B36" s="14" t="s">
        <v>250</v>
      </c>
      <c r="C36" s="14" t="s">
        <v>247</v>
      </c>
      <c r="D36" s="14" t="s">
        <v>247</v>
      </c>
      <c r="E36" s="2" t="s">
        <v>251</v>
      </c>
      <c r="F36" s="2" t="s">
        <v>252</v>
      </c>
    </row>
  </sheetData>
  <mergeCells count="8">
    <mergeCell ref="A31:F31"/>
    <mergeCell ref="B3:B7"/>
    <mergeCell ref="B24:B27"/>
    <mergeCell ref="B13:B16"/>
    <mergeCell ref="B17:B20"/>
    <mergeCell ref="B8:B12"/>
    <mergeCell ref="A1:F1"/>
    <mergeCell ref="B21:B23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导出说明</vt:lpstr>
      <vt:lpstr>报名总览</vt:lpstr>
      <vt:lpstr>测评与作品明细</vt:lpstr>
      <vt:lpstr>题库与评分规则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2026-10-27T10:00:23Z</dcterms:created>
  <dcterms:modified xsi:type="dcterms:W3CDTF">2026-10-27T10:08:53Z</dcterms:modified>
</cp:coreProperties>
</file>